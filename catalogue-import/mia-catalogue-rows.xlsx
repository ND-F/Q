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 pieces" sheetId="1" state="visible" r:id="rId1"/>
    <sheet name="skipp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6444C"/>
      </patternFill>
    </fill>
    <fill>
      <patternFill patternType="solid">
        <fgColor rgb="008A7A4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s>
  <sheetData>
    <row r="1">
      <c r="A1" s="1" t="inlineStr">
        <is>
          <t>id</t>
        </is>
      </c>
      <c r="B1" s="1" t="inlineStr">
        <is>
          <t>inventory_number</t>
        </is>
      </c>
      <c r="C1" s="1" t="inlineStr">
        <is>
          <t>title_en</t>
        </is>
      </c>
      <c r="D1" s="1" t="inlineStr">
        <is>
          <t>title_ar</t>
        </is>
      </c>
      <c r="E1" s="1" t="inlineStr">
        <is>
          <t>from_en</t>
        </is>
      </c>
      <c r="F1" s="1" t="inlineStr">
        <is>
          <t>from_ar</t>
        </is>
      </c>
      <c r="G1" s="1" t="inlineStr">
        <is>
          <t>desc_en</t>
        </is>
      </c>
      <c r="H1" s="1" t="inlineStr">
        <is>
          <t>desc_ar</t>
        </is>
      </c>
      <c r="I1" s="1" t="inlineStr">
        <is>
          <t>date_en</t>
        </is>
      </c>
      <c r="J1" s="1" t="inlineStr">
        <is>
          <t>date_ar</t>
        </is>
      </c>
      <c r="K1" s="1" t="inlineStr">
        <is>
          <t>dimensions_en</t>
        </is>
      </c>
      <c r="L1" s="1" t="inlineStr">
        <is>
          <t>dimensions_ar</t>
        </is>
      </c>
      <c r="M1" s="1" t="inlineStr">
        <is>
          <t>section_en</t>
        </is>
      </c>
      <c r="N1" s="1" t="inlineStr">
        <is>
          <t>section_ar</t>
        </is>
      </c>
      <c r="O1" s="1" t="inlineStr">
        <is>
          <t>hall_en</t>
        </is>
      </c>
      <c r="P1" s="1" t="inlineStr">
        <is>
          <t>hall_ar</t>
        </is>
      </c>
      <c r="Q1" s="1" t="inlineStr">
        <is>
          <t>material_en</t>
        </is>
      </c>
      <c r="R1" s="1" t="inlineStr">
        <is>
          <t>material_ar</t>
        </is>
      </c>
      <c r="S1" s="1" t="inlineStr">
        <is>
          <t>info_en1</t>
        </is>
      </c>
      <c r="T1" s="1" t="inlineStr">
        <is>
          <t>info_ar1</t>
        </is>
      </c>
      <c r="U1" s="1" t="inlineStr">
        <is>
          <t>info_en2</t>
        </is>
      </c>
      <c r="V1" s="1" t="inlineStr">
        <is>
          <t>info_ar2</t>
        </is>
      </c>
      <c r="W1" s="1" t="inlineStr">
        <is>
          <t>info_en3</t>
        </is>
      </c>
      <c r="X1" s="1" t="inlineStr">
        <is>
          <t>info_ar3</t>
        </is>
      </c>
      <c r="Y1" s="1" t="inlineStr">
        <is>
          <t>info_en4</t>
        </is>
      </c>
      <c r="Z1" s="1" t="inlineStr">
        <is>
          <t>info_ar4</t>
        </is>
      </c>
      <c r="AA1" s="1" t="inlineStr">
        <is>
          <t>info_en5</t>
        </is>
      </c>
      <c r="AB1" s="1" t="inlineStr">
        <is>
          <t>info_ar5</t>
        </is>
      </c>
      <c r="AC1" s="1" t="inlineStr">
        <is>
          <t>video_url</t>
        </is>
      </c>
      <c r="AD1" s="1" t="inlineStr">
        <is>
          <t>dsc_en1</t>
        </is>
      </c>
      <c r="AE1" s="1" t="inlineStr">
        <is>
          <t>dsc_ar1</t>
        </is>
      </c>
      <c r="AF1" s="1" t="inlineStr">
        <is>
          <t>dsc_en2</t>
        </is>
      </c>
      <c r="AG1" s="1" t="inlineStr">
        <is>
          <t>dsc_ar2</t>
        </is>
      </c>
      <c r="AH1" s="1" t="inlineStr">
        <is>
          <t>dsc_en3</t>
        </is>
      </c>
      <c r="AI1" s="1" t="inlineStr">
        <is>
          <t>dsc_ar3</t>
        </is>
      </c>
      <c r="AJ1" s="1" t="inlineStr">
        <is>
          <t>dsc_en4</t>
        </is>
      </c>
      <c r="AK1" s="1" t="inlineStr">
        <is>
          <t>dsc_ar4</t>
        </is>
      </c>
      <c r="AL1" s="1" t="inlineStr">
        <is>
          <t>dsc_en5</t>
        </is>
      </c>
      <c r="AM1" s="1" t="inlineStr">
        <is>
          <t>dsc_ar5</t>
        </is>
      </c>
      <c r="AN1" s="1" t="inlineStr">
        <is>
          <t>reel_url</t>
        </is>
      </c>
      <c r="AO1" s="1" t="inlineStr">
        <is>
          <t>reel_url2</t>
        </is>
      </c>
      <c r="AP1" s="1" t="inlineStr">
        <is>
          <t>reel_url3</t>
        </is>
      </c>
      <c r="AQ1" s="1" t="inlineStr">
        <is>
          <t>video_url2</t>
        </is>
      </c>
      <c r="AR1" s="1" t="inlineStr">
        <is>
          <t>video_url3</t>
        </is>
      </c>
      <c r="AS1" s="1" t="inlineStr">
        <is>
          <t>LINK</t>
        </is>
      </c>
      <c r="AT1" s="1" t="inlineStr">
        <is>
          <t>QR</t>
        </is>
      </c>
      <c r="AU1" s="2" t="inlineStr">
        <is>
          <t>registered_en</t>
        </is>
      </c>
      <c r="AV1" s="2" t="inlineStr">
        <is>
          <t>registered_ar</t>
        </is>
      </c>
      <c r="AW1" s="2" t="inlineStr">
        <is>
          <t>acquisition_en</t>
        </is>
      </c>
      <c r="AX1" s="2" t="inlineStr">
        <is>
          <t>acquisition_ar</t>
        </is>
      </c>
      <c r="AY1" s="2" t="inlineStr">
        <is>
          <t>catalogue_no</t>
        </is>
      </c>
      <c r="AZ1" s="2" t="inlineStr">
        <is>
          <t>catalogue_page</t>
        </is>
      </c>
    </row>
    <row r="2">
      <c r="A2" s="3" t="inlineStr">
        <is>
          <t>11612</t>
        </is>
      </c>
      <c r="B2" s="3" t="inlineStr">
        <is>
          <t>Inv. no. 11612</t>
        </is>
      </c>
      <c r="C2" s="3" t="inlineStr">
        <is>
          <t>Panel</t>
        </is>
      </c>
      <c r="D2" s="3" t="inlineStr">
        <is>
          <t>لوح</t>
        </is>
      </c>
      <c r="E2" s="3" t="inlineStr">
        <is>
          <t>From the cemeteries of ‘Ayn al-Sira</t>
        </is>
      </c>
      <c r="F2" s="3" t="inlineStr">
        <is>
          <t>من جبانات عين الصيرة</t>
        </is>
      </c>
      <c r="G2" s="3" t="inlineStr">
        <is>
          <t>Carved and painted panel in the beveled style, featuring a central cordiform flanked by abstract foliate motifs within a rectangular frame composed of elongated oval cartouches with incised lines and small pierced holes. While rooted in Samarra Style C, it reveals a distinctly local sensibility: symmetrical curves and projecting pierced forms recall Ancient Egyptian depictions of radiating solar rays, reflecting continuity from Ancient Egypt through Greco-Roman, Coptic, and early Islamic periods. Similar motifs appear centuries later, notably on the Ottoman-era minbar in the mosque of Muhammad ‘Ali (1848) in the Cairo Citadel. Incomplete and bearing substantial dents along its edges, this panel nevertheless preserves the dialogue between imperial style and local convention, and its material traces testify to its original architectural function and long history.</t>
        </is>
      </c>
      <c r="H2" s="3" t="inlineStr">
        <is>
          <t>لوح ملون ومحفور بالأسلوب المائل، يتوسطه عنصر قلبى الشكل تحيط به زخارف نباتية مجردة داخل إطار مستطيل يتكون من جامات بيضاوية تتخللها خطوط محفورة وثقوب نافذة دقيقة. وتنسب هذه الحشوة إلى طراز سامراء (ج)، إلا أنه يكشف عن تأثيرات محلية واضحة؛ إذ تستحضر الانحناءات المتناظرة والعناصر البارزة المثقوبة تصويرات مصرية قديمة لأشعة الشمس المشعة، بما يعكس استمرارية من العصر المصرى القديم مرورا بالعصرين اليونانى الرومانى والقبطى وصولا إلى الفترة المبكرة من العصر الإسلامى. كما تظهر زخارف مماثلة بعد قرون لاحقة، ولا سيما على منبر مسجد محمد على (١٨٤٨ م) بقلعته فى القاهرة، والذى ينتمى إلى العصر العثمانى. وعلى الرغم من عدم اكتمال هذا اللوح وما يحمله من تلفيات واضحة على حوافه، فإنه يحفظ الحوار بين الأسلوب الإمبراطورى والتقاليد المحلية، كما تشهد آثاره المادية على وظيفته المعمارية الأصلية واستخدامه عبر التاريخ.</t>
        </is>
      </c>
      <c r="I2" s="3" t="inlineStr">
        <is>
          <t>Tulunid or Abbasid, mid-2nd to early 4th centuries AH / 9th-early 10th centuries CE</t>
        </is>
      </c>
      <c r="J2" s="3" t="inlineStr">
        <is>
          <t>طولونى أو عباسى، منتصف القرن الثانى - أوائل القرن الرابع الهجرى / القرن التاسع - أوائل القرن العاشر الميلادى</t>
        </is>
      </c>
      <c r="K2" s="3" t="inlineStr">
        <is>
          <t>W: 70 cm; H: 20 cm</t>
        </is>
      </c>
      <c r="L2" s="3" t="inlineStr">
        <is>
          <t>العرض: ٧٠ سم، الطول: ٢٠ سم</t>
        </is>
      </c>
      <c r="M2" s="3" t="inlineStr"/>
      <c r="N2" s="3" t="inlineStr"/>
      <c r="O2" s="3" t="inlineStr"/>
      <c r="P2" s="3" t="inlineStr"/>
      <c r="Q2" s="3" t="inlineStr"/>
      <c r="R2" s="3" t="inlineStr"/>
      <c r="S2" s="3" t="inlineStr"/>
      <c r="T2" s="3" t="inlineStr"/>
      <c r="U2" s="3" t="inlineStr"/>
      <c r="V2" s="3" t="inlineStr"/>
      <c r="W2" s="3" t="inlineStr"/>
      <c r="X2" s="3" t="inlineStr"/>
      <c r="Y2" s="3" t="inlineStr"/>
      <c r="Z2" s="3" t="inlineStr"/>
      <c r="AA2" s="3" t="inlineStr"/>
      <c r="AB2" s="3" t="inlineStr"/>
      <c r="AC2" s="3" t="inlineStr"/>
      <c r="AD2" s="3" t="inlineStr"/>
      <c r="AE2" s="3" t="inlineStr"/>
      <c r="AF2" s="3" t="inlineStr"/>
      <c r="AG2" s="3" t="inlineStr"/>
      <c r="AH2" s="3" t="inlineStr"/>
      <c r="AI2" s="3" t="inlineStr"/>
      <c r="AJ2" s="3" t="inlineStr"/>
      <c r="AK2" s="3" t="inlineStr"/>
      <c r="AL2" s="3" t="inlineStr"/>
      <c r="AM2" s="3" t="inlineStr"/>
      <c r="AN2" s="3" t="inlineStr"/>
      <c r="AO2" s="3" t="inlineStr"/>
      <c r="AP2" s="3" t="inlineStr"/>
      <c r="AQ2" s="3" t="inlineStr"/>
      <c r="AR2" s="3" t="inlineStr"/>
      <c r="AS2" s="3" t="inlineStr">
        <is>
          <t>https://mia.nadimfoundation.org/q11612</t>
        </is>
      </c>
      <c r="AT2" s="3">
        <f>IMAGE("https://api.qrserver.com/v1/create-qr-code/?size=300x300&amp;margin=8&amp;color=06444C&amp;bgcolor=EAE8D8&amp;data="&amp;ENCODEURL(AS2))</f>
        <v/>
      </c>
      <c r="AU2" s="3" t="inlineStr">
        <is>
          <t>Registered January 1, 1923</t>
        </is>
      </c>
      <c r="AV2" s="3" t="inlineStr">
        <is>
          <t>سجل فى ١ يناير ١٩٢٣</t>
        </is>
      </c>
      <c r="AW2" s="3" t="inlineStr"/>
      <c r="AX2" s="3" t="inlineStr"/>
      <c r="AY2" s="3" t="inlineStr"/>
      <c r="AZ2" s="3" t="inlineStr">
        <is>
          <t>41</t>
        </is>
      </c>
    </row>
    <row r="3">
      <c r="A3" s="3" t="inlineStr">
        <is>
          <t>4618</t>
        </is>
      </c>
      <c r="B3" s="3" t="inlineStr">
        <is>
          <t>Inv. no. 4618</t>
        </is>
      </c>
      <c r="C3" s="3" t="inlineStr">
        <is>
          <t>Panel</t>
        </is>
      </c>
      <c r="D3" s="3" t="inlineStr">
        <is>
          <t>لوح</t>
        </is>
      </c>
      <c r="E3" s="3" t="inlineStr"/>
      <c r="F3" s="3" t="inlineStr"/>
      <c r="G3" s="3" t="inlineStr">
        <is>
          <t>Carved panel, partially preserved, with beveled-style decoration composed of a deeply carved trefoil flanked by kidney-shaped leaves set within semi-undulating palmettes. Terminal palmettes divide into three leaves, and a narrow rectangular border composed of oval cartouches with incised lines and small pierced holes framing the composition.</t>
        </is>
      </c>
      <c r="H3" s="3" t="inlineStr">
        <is>
          <t>لوح خشبى محفور وغير مكتمل، مزخرف بأسلوب الحفر المائل، تتكون زخارفه من ورقة نباتية ثلاثية الفصوص، محورة عن الطبيعة ومحفورة بعمق، تحفها أوراق كلوية الشكل ضمن أنصاف سعيفات النخيل شبه متموجة. تنقسم السعيفات النخيلية الطرفية إلى ثلاث أوراق، ويؤطر التكوين مستطيل ضيق يتألف من خراطيش بيضاوية محفورة، تتخللها خطوط دقيقة وثقوب صغيرة نافذة.</t>
        </is>
      </c>
      <c r="I3" s="3" t="inlineStr">
        <is>
          <t>Tulunid or Abbasid, mid-2nd to early 4th centuries AH / 9th-early 10th centuries CE</t>
        </is>
      </c>
      <c r="J3" s="3" t="inlineStr">
        <is>
          <t>طولونى أو عباسى، منتصف القرن الثانى - أوائل القرن الرابع الهجرى / القرن التاسع - أوائل القرن العاشر الميلادى</t>
        </is>
      </c>
      <c r="K3" s="3" t="inlineStr">
        <is>
          <t>W: 86 cm; H: 24.8 cm</t>
        </is>
      </c>
      <c r="L3" s="3" t="inlineStr">
        <is>
          <t>العرض: ٨٦ سم، الطول: ٢٤٫٨ سم</t>
        </is>
      </c>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is>
          <t>https://mia.nadimfoundation.org/q4618</t>
        </is>
      </c>
      <c r="AT3" s="3">
        <f>IMAGE("https://api.qrserver.com/v1/create-qr-code/?size=300x300&amp;margin=8&amp;color=06444C&amp;bgcolor=EAE8D8&amp;data="&amp;ENCODEURL(AS3))</f>
        <v/>
      </c>
      <c r="AU3" s="3" t="inlineStr">
        <is>
          <t>Registered April 29, 1909</t>
        </is>
      </c>
      <c r="AV3" s="3" t="inlineStr">
        <is>
          <t>سجل فى ٢٩ أبريل ١٩٠٩</t>
        </is>
      </c>
      <c r="AW3" s="3" t="inlineStr">
        <is>
          <t>Purchased from Maurice Nahman, antiquities dealer</t>
        </is>
      </c>
      <c r="AX3" s="3" t="inlineStr">
        <is>
          <t>مشترى من موريس نهمان</t>
        </is>
      </c>
      <c r="AY3" s="3" t="inlineStr"/>
      <c r="AZ3" s="3" t="inlineStr">
        <is>
          <t>43</t>
        </is>
      </c>
    </row>
    <row r="4">
      <c r="A4" s="3" t="inlineStr">
        <is>
          <t>3469</t>
        </is>
      </c>
      <c r="B4" s="3" t="inlineStr">
        <is>
          <t>Inv. no. 3469</t>
        </is>
      </c>
      <c r="C4" s="3" t="inlineStr">
        <is>
          <t>Panel</t>
        </is>
      </c>
      <c r="D4" s="3" t="inlineStr">
        <is>
          <t>لوح</t>
        </is>
      </c>
      <c r="E4" s="3" t="inlineStr"/>
      <c r="F4" s="3" t="inlineStr"/>
      <c r="G4" s="3" t="inlineStr">
        <is>
          <t>Carved panel in the beveled style, with decoration in two bands: the upper band contains a Kufic inscription closely mirroring the foundation inscription of Ibn Tulun’s mosque, with the sin (س) reflecting the emergence of floriated Kufic script, and ‘ain (ع) in السعادة (al-sa‘ada, “happiness”), rendered as a three-petaled flower reminiscent of depictions of Pharaonic lotuses. Below, curvilinear pear-shaped motifs alternate with cordiforms inscribed with trefoils, recalling similar stucco and wood panels from Samarra and Cairo e.g., MIA Inv. No. 13849; MET Inv. No. 31.119.1-2. The precise symmetry and delicately incised edges reflect meticulous attention to proportion and visual balance.</t>
        </is>
      </c>
      <c r="H4" s="3" t="inlineStr">
        <is>
          <t>لوح محفور بالأسلوب المائل، تتوزع زخرفته على شريطين: يحتوى الشريط العلوى على نقش بالخط الكوفى يحاكى عن كثب نص التأسيس فى مسجد ابن طولون، إذ يعكس حرف السين (س) بدايات ظهور الخط الكوفى المورق، بينما صور حرف العين (ع) فى كلمة (السعادة) على هيئة زهرة ثلاثية البتلات مستوحاة من زهرة اللوتس من الفن المصرى القديم. أما الشريط السفلى، فتتناوب فيه زخارف منحنية كمثرية الشكل مع عناصر قلبية بداخلها ورقيات ثلاثية الفصوص، مما يذكر بالألواح الجصية والخشبية المماثلة من سامراء والقاهرة مثل القطعة رقم ١٣٨٤٩ بمتحف الفن الإسلامى، والقطعة رقم ٣١٫١١٩٫١-٢ بمتحف المتروبوليتان. وتعكس الدقة فى التناظر والحواف المحفورة بعناية فائقة بالنسب والتوازن البصرى.</t>
        </is>
      </c>
      <c r="I4" s="3" t="inlineStr">
        <is>
          <t>Tulunid or Abbasid, mid-2nd to early 4th centuries AH / 9th-early 10th centuries CE</t>
        </is>
      </c>
      <c r="J4" s="3" t="inlineStr">
        <is>
          <t>طولونى أو عباسى، منتصف القرن الثانى - أوائل القرن الرابع الهجرى / القرن التاسع - أوائل القرن العاشر الميلادى</t>
        </is>
      </c>
      <c r="K4" s="3" t="inlineStr">
        <is>
          <t>W: 83 cm; H: 23 cm</t>
        </is>
      </c>
      <c r="L4" s="3" t="inlineStr">
        <is>
          <t>العرض: ٨٣ سم، الطول: ٢٣ سم</t>
        </is>
      </c>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is>
          <t>https://mia.nadimfoundation.org/q3469</t>
        </is>
      </c>
      <c r="AT4" s="3">
        <f>IMAGE("https://api.qrserver.com/v1/create-qr-code/?size=300x300&amp;margin=8&amp;color=06444C&amp;bgcolor=EAE8D8&amp;data="&amp;ENCODEURL(AS4))</f>
        <v/>
      </c>
      <c r="AU4" s="3" t="inlineStr"/>
      <c r="AV4" s="3" t="inlineStr"/>
      <c r="AW4" s="3" t="inlineStr"/>
      <c r="AX4" s="3" t="inlineStr"/>
      <c r="AY4" s="3" t="inlineStr"/>
      <c r="AZ4" s="3" t="inlineStr">
        <is>
          <t>43</t>
        </is>
      </c>
    </row>
    <row r="5">
      <c r="A5" s="3" t="inlineStr">
        <is>
          <t>9520</t>
        </is>
      </c>
      <c r="B5" s="3" t="inlineStr">
        <is>
          <t>Inv. no. 9520</t>
        </is>
      </c>
      <c r="C5" s="3" t="inlineStr">
        <is>
          <t>Panel</t>
        </is>
      </c>
      <c r="D5" s="3" t="inlineStr">
        <is>
          <t>لوح</t>
        </is>
      </c>
      <c r="E5" s="3" t="inlineStr">
        <is>
          <t>From the cemeteries of ‘Ayn al-Sira</t>
        </is>
      </c>
      <c r="F5" s="3" t="inlineStr">
        <is>
          <t>من جبانات عين الصيرة</t>
        </is>
      </c>
      <c r="G5" s="3" t="inlineStr">
        <is>
          <t>Wooden panel, possibly a door lintel, comprising two decorative inlays decorated in the beveled style. Each features a non-symmetrical, chalice-like arrangement of undulating scrolls, teardrop motifs with Sasanian “pearl” bands, and finely incised and pierced details. Despite their individual asymmetry, the compositions echo one another across the panel, creating a harmonious composition.</t>
        </is>
      </c>
      <c r="H5" s="3" t="inlineStr">
        <is>
          <t>لوح خشبى، يرجح أنه عتب باب، يضم حشوتين زخرفيتين مطعمتين ومنفذتين بالأسلوب المائل. تزدان كل حشوة بتكوين غير متماثل يشبه الكأس، يتألف من فروع نباتية دقيقة متموجة وملتوية، وعناصر على شكل قطرات دمعية محاطة بأشرطة لؤلؤية ساسانية الطراز، وتفاصيل دقيقة محفورة ومثقوبة. وعلى الرغم من عدم تماثل كل حشوة على حدة، إلا أن التكوينات تحاكى بعضها البعض عبر اللوح، مما يخلق تكوينا بصريا متناغما.</t>
        </is>
      </c>
      <c r="I5" s="3" t="inlineStr">
        <is>
          <t>Tulunid or Abbasid, mid-2nd to early 4th centuries AH / 9th-early 10th centuries CE</t>
        </is>
      </c>
      <c r="J5" s="3" t="inlineStr">
        <is>
          <t>طولونى أو عباسى، منتصف القرن الثانى - أوائل القرن الرابع الهجرى / القرن التاسع - أوائل القرن العاشر الميلادى</t>
        </is>
      </c>
      <c r="K5" s="3" t="inlineStr">
        <is>
          <t>W: 59.3 cm; H: 202.5 cm</t>
        </is>
      </c>
      <c r="L5" s="3" t="inlineStr">
        <is>
          <t>العرض: ٥٩٫٣ سم، الطول: ٢٠٢٫٥ سم</t>
        </is>
      </c>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is>
          <t>https://mia.nadimfoundation.org/q9520</t>
        </is>
      </c>
      <c r="AT5" s="3">
        <f>IMAGE("https://api.qrserver.com/v1/create-qr-code/?size=300x300&amp;margin=8&amp;color=06444C&amp;bgcolor=EAE8D8&amp;data="&amp;ENCODEURL(AS5))</f>
        <v/>
      </c>
      <c r="AU5" s="3" t="inlineStr">
        <is>
          <t>Registered February 1, 1931</t>
        </is>
      </c>
      <c r="AV5" s="3" t="inlineStr">
        <is>
          <t>سجل فى ١ فبراير ١٩٣١</t>
        </is>
      </c>
      <c r="AW5" s="3" t="inlineStr"/>
      <c r="AX5" s="3" t="inlineStr"/>
      <c r="AY5" s="3" t="inlineStr"/>
      <c r="AZ5" s="3" t="inlineStr">
        <is>
          <t>44</t>
        </is>
      </c>
    </row>
    <row r="6">
      <c r="A6" s="3" t="inlineStr">
        <is>
          <t>9898</t>
        </is>
      </c>
      <c r="B6" s="3" t="inlineStr">
        <is>
          <t>Inv. no. 9898</t>
        </is>
      </c>
      <c r="C6" s="3" t="inlineStr">
        <is>
          <t>Panel</t>
        </is>
      </c>
      <c r="D6" s="3" t="inlineStr">
        <is>
          <t>حشوة</t>
        </is>
      </c>
      <c r="E6" s="3" t="inlineStr">
        <is>
          <t>From the cemeteries of ‘Ayn al-Sira, Area 3</t>
        </is>
      </c>
      <c r="F6" s="3" t="inlineStr">
        <is>
          <t>من جبانات عين الصيرة، المنطقة ٣</t>
        </is>
      </c>
      <c r="G6" s="3" t="inlineStr">
        <is>
          <t>Wooden panel, decorated at its center with a prominent beveled composition: a central seven-lobed leaf with downward-curling lateral lobes, flanked by abstracted curling leaves and vines. The design is carved in relief with deep pierced elements, incised lines, and small circular bosses scattered across the surface.</t>
        </is>
      </c>
      <c r="H6" s="3" t="inlineStr">
        <is>
          <t>تصميم خشبى، يتوسطه تكوين بارز بالأسلوب المائل: يتألف من ورقة نباتية مركزية سباعية الفصوص، ذات فصوص جانبية ملتفة للأسفل، تحفها أوراق وفروع نباتية محورة ومجردة. التكوين محفور حفرا بارزا، يتضمن عناصر محفورة بعمق، وخطوطا محزوزة، وحبيبات دائرية صغيرة متناثرة على السطح.</t>
        </is>
      </c>
      <c r="I6" s="3" t="inlineStr">
        <is>
          <t>Tulunid or Abbasid, mid-2nd to early 4th centuries AH / 9th-early 10th centuries CE</t>
        </is>
      </c>
      <c r="J6" s="3" t="inlineStr">
        <is>
          <t>طولونى أو عباسى، منتصف القرن الثانى - أوائل القرن الرابع الهجرى / القرن التاسع - أوائل القرن العاشر الميلادى</t>
        </is>
      </c>
      <c r="K6" s="3" t="inlineStr">
        <is>
          <t>W: 40.5 cm; H: 30 cm</t>
        </is>
      </c>
      <c r="L6" s="3" t="inlineStr">
        <is>
          <t>العرض: ٤٠٫٥ سم، الطول: ٣٠ سم</t>
        </is>
      </c>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is>
          <t>https://mia.nadimfoundation.org/q9898</t>
        </is>
      </c>
      <c r="AT6" s="3">
        <f>IMAGE("https://api.qrserver.com/v1/create-qr-code/?size=300x300&amp;margin=8&amp;color=06444C&amp;bgcolor=EAE8D8&amp;data="&amp;ENCODEURL(AS6))</f>
        <v/>
      </c>
      <c r="AU6" s="3" t="inlineStr">
        <is>
          <t>Registered August 16, 1931</t>
        </is>
      </c>
      <c r="AV6" s="3" t="inlineStr">
        <is>
          <t>سجل فى ١٦ أغسطس ١٩٣١</t>
        </is>
      </c>
      <c r="AW6" s="3" t="inlineStr"/>
      <c r="AX6" s="3" t="inlineStr"/>
      <c r="AY6" s="3" t="inlineStr"/>
      <c r="AZ6" s="3" t="inlineStr">
        <is>
          <t>45</t>
        </is>
      </c>
    </row>
    <row r="7">
      <c r="A7" s="3" t="inlineStr">
        <is>
          <t>4132-4133</t>
        </is>
      </c>
      <c r="B7" s="3" t="inlineStr">
        <is>
          <t>Inv. no. 4132, 4133</t>
        </is>
      </c>
      <c r="C7" s="3" t="inlineStr">
        <is>
          <t>Panels</t>
        </is>
      </c>
      <c r="D7" s="3" t="inlineStr">
        <is>
          <t>لوحان</t>
        </is>
      </c>
      <c r="E7" s="3" t="inlineStr">
        <is>
          <t>From the complex of Sultan Qalawun (683-84 AH / 1284-85 CE)</t>
        </is>
      </c>
      <c r="F7" s="3" t="inlineStr">
        <is>
          <t>من مجمع السلطان قلاوون (٦٨٣-٦٨٤ هـ / ١٢٨٤-١٢٨٥ م)</t>
        </is>
      </c>
      <c r="G7" s="3" t="inlineStr">
        <is>
          <t>Carved in the beveled style on both sides, these two panels bear traces of successive interventions: earlier motifs on the reverse were flattened in order to affix them to a backing, allowing the refined designs on the obverse to be displayed. Their recorded provenance from the complex of Sultan Qalawun is intriguing: the beveled style had fallen out of fashion by the time the complex was built in the Mamluk period, leaving open the question of whether the panels were original to the site or had found their way there from elsewhere.</t>
        </is>
      </c>
      <c r="H7" s="3" t="inlineStr">
        <is>
          <t>قطعتان من الخشب محفورتان بالأسلوب المائل على الوجهين، وتحملان آثار تدخلات فنية متعاقبة، إذ يبدو أن الزخارف الأقدم على الوجه الخلفى قد جرى تسويتها لتثبيتها على حائط أو دعامة، مما يسمح بظهور التصاميم الأكثر إتقانا على الوجه الأمامى للقطعة. إلا أن منشأها المسجل بالمتحف، والذى يربطها بمجمع قلاوون يثير التساؤل؛ لأن أسلوب الحفر المائل لم يعد مستخدما وقت تشييد المجمع فى العصر المملوكى، ولهذا يبقى السؤال مفتوحا، هل كانت هذه الألواح أصلية فى الموقع أم أنها وصلت إليه من مكان آخر.</t>
        </is>
      </c>
      <c r="I7" s="3" t="inlineStr">
        <is>
          <t>Tulunid, 3rd century AH / 9th century CE</t>
        </is>
      </c>
      <c r="J7" s="3" t="inlineStr">
        <is>
          <t>طولونى، القرن الثالث الهجرى / القرن التاسع الميلادى</t>
        </is>
      </c>
      <c r="K7" s="3" t="inlineStr">
        <is>
          <t>W: 42 cm; H: 20.8 cm</t>
        </is>
      </c>
      <c r="L7" s="3" t="inlineStr">
        <is>
          <t>العرض: ٤٢ سم، الطول: ٢٠٫٨ سم</t>
        </is>
      </c>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is>
          <t>https://mia.nadimfoundation.org/q4132-4133</t>
        </is>
      </c>
      <c r="AT7" s="3">
        <f>IMAGE("https://api.qrserver.com/v1/create-qr-code/?size=300x300&amp;margin=8&amp;color=06444C&amp;bgcolor=EAE8D8&amp;data="&amp;ENCODEURL(AS7))</f>
        <v/>
      </c>
      <c r="AU7" s="3" t="inlineStr">
        <is>
          <t>Registered April 25, 1914</t>
        </is>
      </c>
      <c r="AV7" s="3" t="inlineStr">
        <is>
          <t>سجلا فى ٢٥ أبريل ١٩١٤</t>
        </is>
      </c>
      <c r="AW7" s="3" t="inlineStr"/>
      <c r="AX7" s="3" t="inlineStr"/>
      <c r="AY7" s="3" t="inlineStr"/>
      <c r="AZ7" s="3" t="inlineStr">
        <is>
          <t>46</t>
        </is>
      </c>
    </row>
    <row r="8">
      <c r="A8" s="3" t="inlineStr">
        <is>
          <t>6853</t>
        </is>
      </c>
      <c r="B8" s="3" t="inlineStr">
        <is>
          <t>Inv. no. 6853</t>
        </is>
      </c>
      <c r="C8" s="3" t="inlineStr">
        <is>
          <t>Panel</t>
        </is>
      </c>
      <c r="D8" s="3" t="inlineStr">
        <is>
          <t>لوح</t>
        </is>
      </c>
      <c r="E8" s="3" t="inlineStr">
        <is>
          <t>Recovered during an inventory of the holdings in the Museum of Arab Antiquities</t>
        </is>
      </c>
      <c r="F8" s="3" t="inlineStr">
        <is>
          <t>استخرج أثناء جرد لمقتنيات متحف الآثار العربية</t>
        </is>
      </c>
      <c r="G8" s="3" t="inlineStr">
        <is>
          <t>Wooden panel carved with a composition of large arches and dwarf arcades flanking a central medallion containing a prominent tree, perhaps a Cypress representing a “tree of life”. The upper band bears a repeated inscription of the word Allah, rendered without the initial alif in each instance. The carving is notable for its angular, faceted treatment.</t>
        </is>
      </c>
      <c r="H8" s="3" t="inlineStr">
        <is>
          <t>جزء من حشوة خشبية مزخرفة بعقود نصف دائرية كبيرة تتداخل مع بعضها البعض لتنتج عقودا أصغر، وتحيط بجامة دائرية تضم شجرة بارزة، ربما تكون شجرة سرو تمثل «شجرة الحياة». ويحمل الشريط العلوى نقشا مكررا للفظ الجلالة «للها» دون كتابة الألف الأولى ويتميز النحت هنا بالأسلوب المضلع الذى اعتمد على تجريد العناصر النباتية وتحويلها إلى تكوينات زخرفية متكررة تعتمد على الخطوط والزوايا.</t>
        </is>
      </c>
      <c r="I8" s="3" t="inlineStr">
        <is>
          <t>Abbasid, early 3rd century AH / early 9th century CE</t>
        </is>
      </c>
      <c r="J8" s="3" t="inlineStr">
        <is>
          <t>عباسى، أول القرن الثالث الهجرى / أول القرن التاسع الميلادى</t>
        </is>
      </c>
      <c r="K8" s="3" t="inlineStr">
        <is>
          <t>W: 68 cm; H: 39 cm</t>
        </is>
      </c>
      <c r="L8" s="3" t="inlineStr">
        <is>
          <t>العرض: ٦٨ سم، الطول: ٣٩ سم</t>
        </is>
      </c>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is>
          <t>https://mia.nadimfoundation.org/q6853</t>
        </is>
      </c>
      <c r="AT8" s="3">
        <f>IMAGE("https://api.qrserver.com/v1/create-qr-code/?size=300x300&amp;margin=8&amp;color=06444C&amp;bgcolor=EAE8D8&amp;data="&amp;ENCODEURL(AS8))</f>
        <v/>
      </c>
      <c r="AU8" s="3" t="inlineStr"/>
      <c r="AV8" s="3" t="inlineStr"/>
      <c r="AW8" s="3" t="inlineStr"/>
      <c r="AX8" s="3" t="inlineStr"/>
      <c r="AY8" s="3" t="inlineStr"/>
      <c r="AZ8" s="3" t="inlineStr">
        <is>
          <t>47</t>
        </is>
      </c>
    </row>
    <row r="9">
      <c r="A9" s="3" t="inlineStr">
        <is>
          <t>8367-2</t>
        </is>
      </c>
      <c r="B9" s="3" t="inlineStr">
        <is>
          <t>Inv. no. 8367/2</t>
        </is>
      </c>
      <c r="C9" s="3" t="inlineStr">
        <is>
          <t>Panel</t>
        </is>
      </c>
      <c r="D9" s="3" t="inlineStr">
        <is>
          <t>لوح</t>
        </is>
      </c>
      <c r="E9" s="3" t="inlineStr">
        <is>
          <t>From the Southern Cemetery, in the vicinity of the mausoleum of Imam al-Shafi‘i</t>
        </is>
      </c>
      <c r="F9" s="3" t="inlineStr">
        <is>
          <t>من جبانة الجنوب، بالقرب من ضريح الإمام الشافعى</t>
        </is>
      </c>
      <c r="G9" s="3" t="inlineStr">
        <is>
          <t>Panel, possibly from a ceiling, carved with a central hexagon enclosing a large inset rosette with hollow center, surrounded by a meander pattern of hooked crosses and triangles inscribed within a larger dodecagon of twelve sides.</t>
        </is>
      </c>
      <c r="H9" s="3" t="inlineStr">
        <is>
          <t>لوح ذو حفر عميق، ربما من سقف، بتكوين يتضمن شكلا سداسيا مركزيا يضم وردة داخلية أكبر ذات مركز مجوف، تحيط بها زخارف على هيئة نمط متاهة معروف باسم «المياندر»، ويتكون من تصاميم لصلبان معقوفة ومثلثات، نقشت داخل شكل اثنى عشرى يحتويها كاملة.</t>
        </is>
      </c>
      <c r="I9" s="3" t="inlineStr">
        <is>
          <t>Umayyad or Abbasid, late 1st to late 2nd centuries AH / 8th century CE</t>
        </is>
      </c>
      <c r="J9" s="3" t="inlineStr">
        <is>
          <t>أموى أو عباسى، أواخر القرن الأول - أواخر القرن الثانى الهجرى / القرن الثامن الميلادى</t>
        </is>
      </c>
      <c r="K9" s="3" t="inlineStr">
        <is>
          <t>W: 53.8 cm; H: 21.5 cm</t>
        </is>
      </c>
      <c r="L9" s="3" t="inlineStr">
        <is>
          <t>العرض: ٥٣٫٨ سم، الطول: ٢١٫٥ سم</t>
        </is>
      </c>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is>
          <t>https://mia.nadimfoundation.org/q8367-2</t>
        </is>
      </c>
      <c r="AT9" s="3">
        <f>IMAGE("https://api.qrserver.com/v1/create-qr-code/?size=300x300&amp;margin=8&amp;color=06444C&amp;bgcolor=EAE8D8&amp;data="&amp;ENCODEURL(AS9))</f>
        <v/>
      </c>
      <c r="AU9" s="3" t="inlineStr">
        <is>
          <t>Registered March 3, 1929</t>
        </is>
      </c>
      <c r="AV9" s="3" t="inlineStr">
        <is>
          <t>سجل فى ٣ مارس ١٩٢٩</t>
        </is>
      </c>
      <c r="AW9" s="3" t="inlineStr">
        <is>
          <t>Purchased from Muammad Sa‘id</t>
        </is>
      </c>
      <c r="AX9" s="3" t="inlineStr">
        <is>
          <t>مشترى من محمد سعيد</t>
        </is>
      </c>
      <c r="AY9" s="3" t="inlineStr"/>
      <c r="AZ9" s="3" t="inlineStr">
        <is>
          <t>48</t>
        </is>
      </c>
    </row>
    <row r="10">
      <c r="A10" s="3" t="inlineStr">
        <is>
          <t>16466</t>
        </is>
      </c>
      <c r="B10" s="3" t="inlineStr">
        <is>
          <t>Inv. no. 16466</t>
        </is>
      </c>
      <c r="C10" s="3" t="inlineStr">
        <is>
          <t>Panel</t>
        </is>
      </c>
      <c r="D10" s="3" t="inlineStr">
        <is>
          <t>لوح</t>
        </is>
      </c>
      <c r="E10" s="3" t="inlineStr"/>
      <c r="F10" s="3" t="inlineStr"/>
      <c r="G10" s="3" t="inlineStr">
        <is>
          <t>A wooden panel, partially preserved, with shallow relief decoration comprising a simple vegetal scroll interspersed with faunal motifs, including gazelles and other small four-legged animals, and birds.</t>
        </is>
      </c>
      <c r="H10" s="3" t="inlineStr">
        <is>
          <t>جزء من لوح خشبى، يضم زخارف محفورة حفرا غائرا تتكون من التفاف نباتى بسيط تتخلله عناصر حيوانية، تشمل غزلانا وحيوانات أخرى رباعية الأرجل، بالإضافة إلى طيورا.</t>
        </is>
      </c>
      <c r="I10" s="3" t="inlineStr">
        <is>
          <t>Fatimid, 4th-6th centuries AH / 10th-12th centuries CE</t>
        </is>
      </c>
      <c r="J10" s="3" t="inlineStr">
        <is>
          <t>فاطمى، القرن الرابع - القرن السادس الهجرى / القرن العاشر - القرن الثانى عشر الميلادى</t>
        </is>
      </c>
      <c r="K10" s="3" t="inlineStr">
        <is>
          <t>W: 92 cm; H: 12.4 cm</t>
        </is>
      </c>
      <c r="L10" s="3" t="inlineStr">
        <is>
          <t>العرض: ٩٢ سم، الطول: ١٢٫٤ سم</t>
        </is>
      </c>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is>
          <t>https://mia.nadimfoundation.org/q16466</t>
        </is>
      </c>
      <c r="AT10" s="3">
        <f>IMAGE("https://api.qrserver.com/v1/create-qr-code/?size=300x300&amp;margin=8&amp;color=06444C&amp;bgcolor=EAE8D8&amp;data="&amp;ENCODEURL(AS10))</f>
        <v/>
      </c>
      <c r="AU10" s="3" t="inlineStr"/>
      <c r="AV10" s="3" t="inlineStr"/>
      <c r="AW10" s="3" t="inlineStr"/>
      <c r="AX10" s="3" t="inlineStr"/>
      <c r="AY10" s="3" t="inlineStr"/>
      <c r="AZ10" s="3" t="inlineStr">
        <is>
          <t>49</t>
        </is>
      </c>
    </row>
    <row r="11">
      <c r="A11" s="3" t="inlineStr">
        <is>
          <t>2112</t>
        </is>
      </c>
      <c r="B11" s="3" t="inlineStr">
        <is>
          <t>Inv. no. 2112</t>
        </is>
      </c>
      <c r="C11" s="3" t="inlineStr">
        <is>
          <t>Panel</t>
        </is>
      </c>
      <c r="D11" s="3" t="inlineStr">
        <is>
          <t>لوح</t>
        </is>
      </c>
      <c r="E11" s="3" t="inlineStr">
        <is>
          <t>From the mausoleum of Imam al-Shafi‘i (607-08 AH / 1211 CE)</t>
        </is>
      </c>
      <c r="F11" s="3" t="inlineStr">
        <is>
          <t>من ضريح الإمام الشافعى (٦٠٧-٦٠٨ هـ / ١٢١١ م)</t>
        </is>
      </c>
      <c r="G11" s="3" t="inlineStr">
        <is>
          <t>Recovered from the mausoleum of Imam al-Shafi‘i (607-08 AH / 1211 CE), this panel features a geometric strapwork pattern of stars enclosing winged mythological creatures, possibly pegasi or griffins. The undecorated reverse suggests the panel was reused as a plain wooden element, likely removed from an earlier Fatimid structure. Panel Inv. No. 2111, also in the Museum’s collection, is closely related to this piece.</t>
        </is>
      </c>
      <c r="H11" s="3" t="inlineStr">
        <is>
          <t>استخرج هذا اللوح من ضريح الإمام الشافعى (٦٠٧-٦٠٨ هـ / ١٢١١ م)، ويتميز بزخرفة هندسية من الإنانات (تصاميم شريطية) تتشكل على هيئة نجوم، تضم داخلها كائنات أسطورية مجنحة يحتمل أن تكون خيولا مجنحة (بيجاسوس أو جريفينات). ويشير الوجه الخلفى غير المزخرف إلى أن اللوح أعيد استخدامه كعنصر خشبى بسيط، ويرجح أنه نقل من منشأة فاطمية أقدم. ويرتبط هذا اللوح ارتباطا وثيقا بالقطعة رقم ٢١١١ المحفوظة أيضا ضمن مقتنيات المتحف.</t>
        </is>
      </c>
      <c r="I11" s="3" t="inlineStr">
        <is>
          <t>Fatimid, 5th century AH / 11th century CE</t>
        </is>
      </c>
      <c r="J11" s="3" t="inlineStr">
        <is>
          <t>فاطمى، القرن الخامس الهجرى / القرن الحادى عشر الميلادى</t>
        </is>
      </c>
      <c r="K11" s="3" t="inlineStr">
        <is>
          <t>W: 13 cm; H: 45.8 cm</t>
        </is>
      </c>
      <c r="L11" s="3" t="inlineStr">
        <is>
          <t>العرض: ١٣ سم، الطول: ٤٥٫٨ سم</t>
        </is>
      </c>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is>
          <t>https://mia.nadimfoundation.org/q2112</t>
        </is>
      </c>
      <c r="AT11" s="3">
        <f>IMAGE("https://api.qrserver.com/v1/create-qr-code/?size=300x300&amp;margin=8&amp;color=06444C&amp;bgcolor=EAE8D8&amp;data="&amp;ENCODEURL(AS11))</f>
        <v/>
      </c>
      <c r="AU11" s="3" t="inlineStr"/>
      <c r="AV11" s="3" t="inlineStr"/>
      <c r="AW11" s="3" t="inlineStr"/>
      <c r="AX11" s="3" t="inlineStr"/>
      <c r="AY11" s="3" t="inlineStr"/>
      <c r="AZ11" s="3" t="inlineStr">
        <is>
          <t>49</t>
        </is>
      </c>
    </row>
    <row r="12">
      <c r="A12" s="3" t="inlineStr">
        <is>
          <t>14600</t>
        </is>
      </c>
      <c r="B12" s="3" t="inlineStr">
        <is>
          <t>Inv. no. 14600</t>
        </is>
      </c>
      <c r="C12" s="3" t="inlineStr">
        <is>
          <t>Panel</t>
        </is>
      </c>
      <c r="D12" s="3" t="inlineStr">
        <is>
          <t>لوح</t>
        </is>
      </c>
      <c r="E12" s="3" t="inlineStr"/>
      <c r="F12" s="3" t="inlineStr"/>
      <c r="G12" s="3" t="inlineStr">
        <is>
          <t>A rectangular wooden panel featuring a centrally placed seated figure holding a cup, set within dense scrolling arabesques punctuated with trefoils and cordiforms. The figure, depicted in three-quarter view, is a common type in Fatimid art, linked to themes of ceremonial or courtly life.</t>
        </is>
      </c>
      <c r="H12" s="3" t="inlineStr">
        <is>
          <t>لوح خشبى مستطيل يتوسطه شخص جالس يحمل كأسا، ضمن أرابيسك كثيف ملتف تتخلله زخارف ثلاثية الفصوص وعناصر قلبية الشكل. ويصور الشخص بزاوية ثلاثة أرباع، وهو نموذج شائع فى الفن الفاطمى يرتبط بموضوعات الحياة الاحتفالية أو البلاطية.</t>
        </is>
      </c>
      <c r="I12" s="3" t="inlineStr">
        <is>
          <t>Fatimid, 4th-6th centuries AH / 10th-12th centuries CE</t>
        </is>
      </c>
      <c r="J12" s="3" t="inlineStr">
        <is>
          <t>فاطمى، القرن الرابع - القرن السادس الهجرى/ القرن العاشر - القرن الثانى عشر الميلادى</t>
        </is>
      </c>
      <c r="K12" s="3" t="inlineStr">
        <is>
          <t>W: 22 cm; H: 35.5 cm</t>
        </is>
      </c>
      <c r="L12" s="3" t="inlineStr">
        <is>
          <t>العرض: ٢٢ سم، الطول: ٣٥٫٥ سم</t>
        </is>
      </c>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is>
          <t>https://mia.nadimfoundation.org/q14600</t>
        </is>
      </c>
      <c r="AT12" s="3">
        <f>IMAGE("https://api.qrserver.com/v1/create-qr-code/?size=300x300&amp;margin=8&amp;color=06444C&amp;bgcolor=EAE8D8&amp;data="&amp;ENCODEURL(AS12))</f>
        <v/>
      </c>
      <c r="AU12" s="3" t="inlineStr">
        <is>
          <t>Registered July 27, 1941</t>
        </is>
      </c>
      <c r="AV12" s="3" t="inlineStr">
        <is>
          <t>سجل فى ٢٧ يوليو ١٩٤١</t>
        </is>
      </c>
      <c r="AW12" s="3" t="inlineStr">
        <is>
          <t>Purchased from Nicolas G. or Phokion J. Tano, antiquities dealers</t>
        </is>
      </c>
      <c r="AX12" s="3" t="inlineStr">
        <is>
          <t>مشترى من نيكولا ج. أو فوكيون ج. تانو، تاجرى آثار</t>
        </is>
      </c>
      <c r="AY12" s="3" t="inlineStr"/>
      <c r="AZ12" s="3" t="inlineStr">
        <is>
          <t>54</t>
        </is>
      </c>
    </row>
    <row r="13">
      <c r="A13" s="3" t="inlineStr">
        <is>
          <t>16343</t>
        </is>
      </c>
      <c r="B13" s="3" t="inlineStr">
        <is>
          <t>Inv. no. 16343</t>
        </is>
      </c>
      <c r="C13" s="3" t="inlineStr">
        <is>
          <t>Panel</t>
        </is>
      </c>
      <c r="D13" s="3" t="inlineStr">
        <is>
          <t>لوح</t>
        </is>
      </c>
      <c r="E13" s="3" t="inlineStr"/>
      <c r="F13" s="3" t="inlineStr"/>
      <c r="G13" s="3" t="inlineStr">
        <is>
          <t>Small wooden panel, tapering toward the top and divided into three fields. The central field is occupied by an elegantly carved gazelle with curving antlers, set upon a simple vegetal-scroll ground, while the flanking fields feature more dense yet restrained scrolling vegetal motifs. The composition conveys a sense of natural, flowing movement.</t>
        </is>
      </c>
      <c r="H13" s="3" t="inlineStr">
        <is>
          <t>لوح خشبى صغير، يضيق تدريجيا نحو الأعلى، ومقسم إلى ثلاثة حقول زخرفية. يشغل الجزء الأوسط غزال منحوت بأناقة ذا قرون منحنية، يرتكز على أرضية من زخارف نباتية ملتفة بسيطة، بينما يحتوى الجزءان الجانبيان على زخارف نباتية ملتفة كثيفة ولكنها محكومة ومنضبطة. وتتضافر هذه العناصر جميعا لتمنح إحساسا بالحركة الطبيعية المنسابة.</t>
        </is>
      </c>
      <c r="I13" s="3" t="inlineStr">
        <is>
          <t>Fatimid, 5th century AH / 11th century CE</t>
        </is>
      </c>
      <c r="J13" s="3" t="inlineStr">
        <is>
          <t>فاطمى، القرن الخامس الهجرى / القرن الحادى عشر الميلادى</t>
        </is>
      </c>
      <c r="K13" s="3" t="inlineStr">
        <is>
          <t>W: 4 cm; H: 10 cm</t>
        </is>
      </c>
      <c r="L13" s="3" t="inlineStr">
        <is>
          <t>العرض: ٤ سم، الطول: ١٠ سم</t>
        </is>
      </c>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is>
          <t>https://mia.nadimfoundation.org/q16343</t>
        </is>
      </c>
      <c r="AT13" s="3">
        <f>IMAGE("https://api.qrserver.com/v1/create-qr-code/?size=300x300&amp;margin=8&amp;color=06444C&amp;bgcolor=EAE8D8&amp;data="&amp;ENCODEURL(AS13))</f>
        <v/>
      </c>
      <c r="AU13" s="3" t="inlineStr">
        <is>
          <t>Registered October 27, 1949</t>
        </is>
      </c>
      <c r="AV13" s="3" t="inlineStr">
        <is>
          <t>سجل فى ٢٧ أكتوبر ١٩٤٩</t>
        </is>
      </c>
      <c r="AW13" s="3" t="inlineStr">
        <is>
          <t>Purchased from Abdallah Michael</t>
        </is>
      </c>
      <c r="AX13" s="3" t="inlineStr">
        <is>
          <t>مشترى من عبد للها ميخائيل</t>
        </is>
      </c>
      <c r="AY13" s="3" t="inlineStr"/>
      <c r="AZ13" s="3" t="inlineStr">
        <is>
          <t>55</t>
        </is>
      </c>
    </row>
    <row r="14">
      <c r="A14" s="3" t="inlineStr">
        <is>
          <t>14110</t>
        </is>
      </c>
      <c r="B14" s="3" t="inlineStr">
        <is>
          <t>Inv. no. 14110</t>
        </is>
      </c>
      <c r="C14" s="3" t="inlineStr">
        <is>
          <t>Openwork Panel</t>
        </is>
      </c>
      <c r="D14" s="3" t="inlineStr">
        <is>
          <t>لوح مفرغ</t>
        </is>
      </c>
      <c r="E14" s="3" t="inlineStr"/>
      <c r="F14" s="3" t="inlineStr"/>
      <c r="G14" s="3" t="inlineStr">
        <is>
          <t>Openwork panel carved in varying levels of relief, featuring two elegantly affronted bird heads that together form a heart shape, surmounted by a trefoil arch. The Museum’s collection includes two similarly rendered birds, both registered under Inv. No. 4800 and dated to the 11th century (5th century AH).</t>
        </is>
      </c>
      <c r="H14" s="3" t="inlineStr">
        <is>
          <t>لوح مفرغ منحوت بمستويات متفاوتة من البروز، يتضمن رأسى طائرين متقابلين بأناقة يشكلان معا هيئة قلب، تعلوهما قنطرة ثلاثية الفصوص. وتضم مجموعة المتحف طائرين منفذين بأسلوب مماثل، كلاهما مسجلان برقم ٤٨٠٠، ويعود تاريخهما إلى القرن الخامس الهجرى، والحادى عشر الميلادى.</t>
        </is>
      </c>
      <c r="I14" s="3" t="inlineStr">
        <is>
          <t>Fatimid, 5th century AH / 11th century CE</t>
        </is>
      </c>
      <c r="J14" s="3" t="inlineStr">
        <is>
          <t>فاطمى، القرن الخامس الهجرى / القرن الحادى عشر الميلادى</t>
        </is>
      </c>
      <c r="K14" s="3" t="inlineStr">
        <is>
          <t>W: 5.5 cm; H: 10.5 cm</t>
        </is>
      </c>
      <c r="L14" s="3" t="inlineStr">
        <is>
          <t>العرض: ٥٫٥ سم، الطول: ١٠٫٥ سم</t>
        </is>
      </c>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is>
          <t>https://mia.nadimfoundation.org/q14110</t>
        </is>
      </c>
      <c r="AT14" s="3">
        <f>IMAGE("https://api.qrserver.com/v1/create-qr-code/?size=300x300&amp;margin=8&amp;color=06444C&amp;bgcolor=EAE8D8&amp;data="&amp;ENCODEURL(AS14))</f>
        <v/>
      </c>
      <c r="AU14" s="3" t="inlineStr">
        <is>
          <t>Registered August 10, 1931</t>
        </is>
      </c>
      <c r="AV14" s="3" t="inlineStr">
        <is>
          <t>سجل فى ١٠ أغسطس ١٩٣١</t>
        </is>
      </c>
      <c r="AW14" s="3" t="inlineStr"/>
      <c r="AX14" s="3" t="inlineStr"/>
      <c r="AY14" s="3" t="inlineStr"/>
      <c r="AZ14" s="3" t="inlineStr">
        <is>
          <t>56</t>
        </is>
      </c>
    </row>
    <row r="15">
      <c r="A15" s="3" t="inlineStr">
        <is>
          <t>4134</t>
        </is>
      </c>
      <c r="B15" s="3" t="inlineStr">
        <is>
          <t>Inv. no. 4134</t>
        </is>
      </c>
      <c r="C15" s="3" t="inlineStr">
        <is>
          <t>Panel</t>
        </is>
      </c>
      <c r="D15" s="3" t="inlineStr">
        <is>
          <t>لوح</t>
        </is>
      </c>
      <c r="E15" s="3" t="inlineStr">
        <is>
          <t>From the complex of Sultan Qalawun (683-84 AH / 1284-85 CE)</t>
        </is>
      </c>
      <c r="F15" s="3" t="inlineStr">
        <is>
          <t>من مجمع السلطان قلاوون (٦٨٣-٦٨٤ هـ / ١٢٨٤-١٢٨٥ م)</t>
        </is>
      </c>
      <c r="G15" s="3" t="inlineStr">
        <is>
          <t>Wooden panel, partially preserved, decorated with a lively arrangement of vegetal and faunal imagery. Both the central field and surrounding borders feature vegetal scrolls with trefoil leaves and buds, interspersed with birds and four-legged animals such as deer and rabbits. The finer details of the animals are now largely obscured, either through wear or because they were originally rendered in paint rather than carved in relief, a practice attested in other Fatimid woodwork.</t>
        </is>
      </c>
      <c r="H15" s="3" t="inlineStr">
        <is>
          <t>جزء من لوح خشبى يزدان بتكوين جذاب ملىء بالحياة بعناصره النباتية والحيوانية. فيتسم كل من الحقل الأوسط والإطارات المحيطة به بترتيب من زخارف نباتية كثيفة وملتوية، بأغلبها أوراق ثلاثية الفصوص والبراعم، كما تتخللها طيور وحيوانات رباعية الأرجل مثل الغزلان والأرانب. وقد طمست تفاصيل هذه الحيوانات، إما نتيجة التآكل، أو لأنها ربما نفذت فى الأصل بالطلاء بدلا من النحت، وهى ممارسة موثقة فى نماذج أخرى من الأعمال الخشبية الفاطمية.</t>
        </is>
      </c>
      <c r="I15" s="3" t="inlineStr">
        <is>
          <t>Fatimid, c. 540 AH / 1058 CE</t>
        </is>
      </c>
      <c r="J15" s="3" t="inlineStr">
        <is>
          <t>فاطمى، حوالى سنة ٥٤٠ هـ / ١٠٥٨ م</t>
        </is>
      </c>
      <c r="K15" s="3" t="inlineStr">
        <is>
          <t>W: 71.8 cm; H: 43 cm</t>
        </is>
      </c>
      <c r="L15" s="3" t="inlineStr">
        <is>
          <t>العرض: ٧١٫٨ سم، الطول: ٤٣ سم</t>
        </is>
      </c>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is>
          <t>https://mia.nadimfoundation.org/q4134</t>
        </is>
      </c>
      <c r="AT15" s="3">
        <f>IMAGE("https://api.qrserver.com/v1/create-qr-code/?size=300x300&amp;margin=8&amp;color=06444C&amp;bgcolor=EAE8D8&amp;data="&amp;ENCODEURL(AS15))</f>
        <v/>
      </c>
      <c r="AU15" s="3" t="inlineStr"/>
      <c r="AV15" s="3" t="inlineStr"/>
      <c r="AW15" s="3" t="inlineStr"/>
      <c r="AX15" s="3" t="inlineStr"/>
      <c r="AY15" s="3" t="inlineStr"/>
      <c r="AZ15" s="3" t="inlineStr">
        <is>
          <t>57</t>
        </is>
      </c>
    </row>
    <row r="16">
      <c r="A16" s="3" t="inlineStr">
        <is>
          <t>3196</t>
        </is>
      </c>
      <c r="B16" s="3" t="inlineStr">
        <is>
          <t>Inv. no. 3196</t>
        </is>
      </c>
      <c r="C16" s="3" t="inlineStr">
        <is>
          <t>Frieze</t>
        </is>
      </c>
      <c r="D16" s="3" t="inlineStr">
        <is>
          <t>إفريز</t>
        </is>
      </c>
      <c r="E16" s="3" t="inlineStr">
        <is>
          <t>From the complex of Sultan Qalawun (683-84 AH / 1284-85 CE)</t>
        </is>
      </c>
      <c r="F16" s="3" t="inlineStr">
        <is>
          <t>من مجمع السلطان قلاوون (٦٨٣-٦٨٤ هـ / ١٢٨٤-١٢٨٥ م)</t>
        </is>
      </c>
      <c r="G16" s="3" t="inlineStr">
        <is>
          <t>Long wooden frieze, recovered from the complex of Sultan Qalawun (683-84 AH / 1284-85 CE). The reverse, dated to the Fatimid period and likely displayed in the Fatimid Lesser (Western) Palace that once occupied the site, features relief-carved human and animal figures set within geometric frames with infills of scrolling arabesques; the figures are rendered primarily in outline, suggesting that their finer details were originally completed in paint. The obverse bears markedly finer decoration of large vine scrolls enclosing lobed leaves, pomegranates or grapes, and chalices, all characteristic of Umayyad-revival art in the late Ayyubid and early Mamluk periods.</t>
        </is>
      </c>
      <c r="H16" s="3" t="inlineStr">
        <is>
          <t>إفريز خشبى طويل استخرج من مجمع السلطان المنصور سيف الدين قلاوون (٦٨٣-٦٨٤ هـ / ١٢٨٤-١٢٨٥ م). يحمل الوجه الأمامى - المؤرخ إلى العصر الفاطمى، والذى يرجح أنه كان معروضا فى القصر الفاطمى الصغير (الغربى) الذى كان قائما فى الموقع - زخارف بارزة لآدميين وحيوانات ضمن إطارات هندسية تتخللها حشوات من الأرابيسك الملتف. وقد رسمت الأشكال فى الأساس بخطوط خارجية، مما يوحى بأن تفاصيلها الدقيقة كانت تستكمل بالألوان فى الأصل. أما الوجه الخلفى فيحمل زخارف أدق بكثير - ويرجح أنها أقدم - تتمثل فى فروع نباتية متموجة من عناقيد العنب (نبات كرمة) كبيرة تحيط بأوراق مفصصة ورمان أو عناقيد عنب وكؤوس، جميعها عناصر مميزة لفن إحياء الطراز الأموى الذى ظهر فى أواخر العصر الأيوبى وبدايات العصر المملوكى.</t>
        </is>
      </c>
      <c r="I16" s="3" t="inlineStr">
        <is>
          <t>Obverse: late Ayyubid or early Bahri periods, 7th-8th centuries AH / mid-13th-14th centuries CE
Reverse: Fatimid period, c. 450 AH / 1058 CE</t>
        </is>
      </c>
      <c r="J16" s="3" t="inlineStr">
        <is>
          <t>الوجه الأمامى: من أواخر العصر الأيوبى أو بدايات العصر المملوكى البحرى، القرن السابع - القرن الثامن هجريا / منتصف القرن الثالث عشر - القرن الرابع عشر ميلاديا
الوجه الخلفى: العصر الفاطمى، حوالى سنة ٤٥٠ هـ / ١٠٥٨ م</t>
        </is>
      </c>
      <c r="K16" s="3" t="inlineStr">
        <is>
          <t>W: 223 cm; H: 35.5 cm</t>
        </is>
      </c>
      <c r="L16" s="3" t="inlineStr">
        <is>
          <t>العرض: ٣٥٫٥ سم، الطول: ٢٢٣ سم</t>
        </is>
      </c>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is>
          <t>https://mia.nadimfoundation.org/q3196</t>
        </is>
      </c>
      <c r="AT16" s="3">
        <f>IMAGE("https://api.qrserver.com/v1/create-qr-code/?size=300x300&amp;margin=8&amp;color=06444C&amp;bgcolor=EAE8D8&amp;data="&amp;ENCODEURL(AS16))</f>
        <v/>
      </c>
      <c r="AU16" s="3" t="inlineStr">
        <is>
          <t>Registered November 1, 1904</t>
        </is>
      </c>
      <c r="AV16" s="3" t="inlineStr">
        <is>
          <t>سجل فى ١ نوفمبر ١٩٠٤</t>
        </is>
      </c>
      <c r="AW16" s="3" t="inlineStr"/>
      <c r="AX16" s="3" t="inlineStr"/>
      <c r="AY16" s="3" t="inlineStr"/>
      <c r="AZ16" s="3" t="inlineStr">
        <is>
          <t>58</t>
        </is>
      </c>
    </row>
    <row r="17">
      <c r="A17" s="3" t="inlineStr">
        <is>
          <t>9519</t>
        </is>
      </c>
      <c r="B17" s="3" t="inlineStr">
        <is>
          <t>Inv. no. 9519</t>
        </is>
      </c>
      <c r="C17" s="3" t="inlineStr">
        <is>
          <t>Frieze</t>
        </is>
      </c>
      <c r="D17" s="3" t="inlineStr">
        <is>
          <t>إفريز</t>
        </is>
      </c>
      <c r="E17" s="3" t="inlineStr">
        <is>
          <t>From the cemeteries of ‘Ayn al-Sira</t>
        </is>
      </c>
      <c r="F17" s="3" t="inlineStr">
        <is>
          <t>من مقابر عين الصيرة</t>
        </is>
      </c>
      <c r="G17" s="3" t="inlineStr">
        <is>
          <t>Wooden frieze, decorated with prominent relief-carved scrolls featuring lobed leaves and buds, centered upon a medallion with an inscribed motif of uncertain attribution. The panel was once likely painted, though the original details of the central motif are now obscured.</t>
        </is>
      </c>
      <c r="H17" s="3" t="inlineStr">
        <is>
          <t>إفريز خشبى، يزدان بزخارف من فروع نباتية نفذت بالحفر البارز، تتضمن أوراقا مفصصة وبراعم، وتتمركز حول جامة دائرية بداخلها زخرفة محفورة غير محددة المعالم أو النسبة/التأريخ. ويرجح أن الإفريز كان ملونا فى الأصل، غير أن التفاصيل الأصلية للعنصر المركزى أصبحت الآن مطموسة.</t>
        </is>
      </c>
      <c r="I17" s="3" t="inlineStr">
        <is>
          <t>Byzantine or Early Islamic, late 1st century BH-1st century AH / 6th-7th centuries CE</t>
        </is>
      </c>
      <c r="J17" s="3" t="inlineStr">
        <is>
          <t>بيزنطى أو بداية العصر الإسلامى، أواخر القرن الأول قبل الهجرة - القرن الأول هجريا / القرن السادس - القرن السابع ميلاديا</t>
        </is>
      </c>
      <c r="K17" s="3" t="inlineStr">
        <is>
          <t>W: 181 cm; H: 26 cm</t>
        </is>
      </c>
      <c r="L17" s="3" t="inlineStr">
        <is>
          <t>العرض: ١٨١ سم، الطول: ٢٦ سم</t>
        </is>
      </c>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is>
          <t>https://mia.nadimfoundation.org/q9519</t>
        </is>
      </c>
      <c r="AT17" s="3">
        <f>IMAGE("https://api.qrserver.com/v1/create-qr-code/?size=300x300&amp;margin=8&amp;color=06444C&amp;bgcolor=EAE8D8&amp;data="&amp;ENCODEURL(AS17))</f>
        <v/>
      </c>
      <c r="AU17" s="3" t="inlineStr">
        <is>
          <t>Registered February 1934</t>
        </is>
      </c>
      <c r="AV17" s="3" t="inlineStr">
        <is>
          <t>سجل فى فبراير ١٩٣٤</t>
        </is>
      </c>
      <c r="AW17" s="3" t="inlineStr"/>
      <c r="AX17" s="3" t="inlineStr"/>
      <c r="AY17" s="3" t="inlineStr"/>
      <c r="AZ17" s="3" t="inlineStr">
        <is>
          <t>59</t>
        </is>
      </c>
    </row>
    <row r="18">
      <c r="A18" s="3" t="inlineStr">
        <is>
          <t>8946</t>
        </is>
      </c>
      <c r="B18" s="3" t="inlineStr">
        <is>
          <t>Inv. no. 8946</t>
        </is>
      </c>
      <c r="C18" s="3" t="inlineStr">
        <is>
          <t>Frieze</t>
        </is>
      </c>
      <c r="D18" s="3" t="inlineStr">
        <is>
          <t>إفريز</t>
        </is>
      </c>
      <c r="E18" s="3" t="inlineStr">
        <is>
          <t>From the cemeteries of ‘Ayn al-Sira</t>
        </is>
      </c>
      <c r="F18" s="3" t="inlineStr">
        <is>
          <t>من مقابر عين الصيرة</t>
        </is>
      </c>
      <c r="G18" s="3" t="inlineStr">
        <is>
          <t>Wooden panel, carved with scrolling vegetal motifs enclosing prominent five-petalled flowers.</t>
        </is>
      </c>
      <c r="H18" s="3" t="inlineStr">
        <is>
          <t>لوح خشبى محفور بزخارف نباتية ملتفة يتخللها زهور بارزة خماسية البتلات.</t>
        </is>
      </c>
      <c r="I18" s="3" t="inlineStr">
        <is>
          <t>Umayyad or Abbasid, 2nd century AH / 8th century CE</t>
        </is>
      </c>
      <c r="J18" s="3" t="inlineStr">
        <is>
          <t>أموى أو عباسى، القرن الثانى الهجرى / القرن الثامن الميلادى</t>
        </is>
      </c>
      <c r="K18" s="3" t="inlineStr">
        <is>
          <t>W: 75 cm; H: 16 cm</t>
        </is>
      </c>
      <c r="L18" s="3" t="inlineStr">
        <is>
          <t>العرض: ٧٥ سم، الطول: ١٦ سم</t>
        </is>
      </c>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is>
          <t>https://mia.nadimfoundation.org/q8946</t>
        </is>
      </c>
      <c r="AT18" s="3">
        <f>IMAGE("https://api.qrserver.com/v1/create-qr-code/?size=300x300&amp;margin=8&amp;color=06444C&amp;bgcolor=EAE8D8&amp;data="&amp;ENCODEURL(AS18))</f>
        <v/>
      </c>
      <c r="AU18" s="3" t="inlineStr">
        <is>
          <t>Registered December 4, 1929</t>
        </is>
      </c>
      <c r="AV18" s="3" t="inlineStr">
        <is>
          <t>سجل فى ٤ ديسمبر ١٩٢٩</t>
        </is>
      </c>
      <c r="AW18" s="3" t="inlineStr"/>
      <c r="AX18" s="3" t="inlineStr"/>
      <c r="AY18" s="3" t="inlineStr"/>
      <c r="AZ18" s="3" t="inlineStr">
        <is>
          <t>59</t>
        </is>
      </c>
    </row>
    <row r="19">
      <c r="A19" s="3" t="inlineStr">
        <is>
          <t>4749</t>
        </is>
      </c>
      <c r="B19" s="3" t="inlineStr">
        <is>
          <t>Inv. no. 4749</t>
        </is>
      </c>
      <c r="C19" s="3" t="inlineStr">
        <is>
          <t>Panel</t>
        </is>
      </c>
      <c r="D19" s="3" t="inlineStr">
        <is>
          <t>لوح</t>
        </is>
      </c>
      <c r="E19" s="3" t="inlineStr">
        <is>
          <t>From the ruins of al-Fustat</t>
        </is>
      </c>
      <c r="F19" s="3" t="inlineStr">
        <is>
          <t>من أطلال الفسطاط</t>
        </is>
      </c>
      <c r="G19" s="3" t="inlineStr">
        <is>
          <t>Panel of a reddish wood, carved in relief with two merged hexagons filled with a lively, asymmetrical arrangement of arabesques based on half-palmettes and trefoil leaves, ornamented with further carved scrolls.</t>
        </is>
      </c>
      <c r="H19" s="3" t="inlineStr">
        <is>
          <t>حشوة خشبية يميل لونها إلى الحمرة، نفذت بأسلوب النحت البارز، تتضمن شكلين سداسيين مدمجين ومملوءين بترتيب حيوى غير متماثل من زخارف الأرابيسك تتخللها أنصاف سعيفات نخيلية وأوراق نباتية ثلاثية الفصوص، وتزدان كذلك بفروع نباتية إضافية محفورة.</t>
        </is>
      </c>
      <c r="I19" s="3" t="inlineStr"/>
      <c r="J19" s="3" t="inlineStr"/>
      <c r="K19" s="3" t="inlineStr">
        <is>
          <t>W: 7 cm; H: 12.5 cm</t>
        </is>
      </c>
      <c r="L19" s="3" t="inlineStr">
        <is>
          <t>العرض: ٧ سم، الطول: ١٢٫٥ سم</t>
        </is>
      </c>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is>
          <t>https://mia.nadimfoundation.org/q4749</t>
        </is>
      </c>
      <c r="AT19" s="3">
        <f>IMAGE("https://api.qrserver.com/v1/create-qr-code/?size=300x300&amp;margin=8&amp;color=06444C&amp;bgcolor=EAE8D8&amp;data="&amp;ENCODEURL(AS19))</f>
        <v/>
      </c>
      <c r="AU19" s="3" t="inlineStr">
        <is>
          <t>Registered December 20, 1918</t>
        </is>
      </c>
      <c r="AV19" s="3" t="inlineStr">
        <is>
          <t>سجل فى ٢٠ ديسمبر ١٩١٨</t>
        </is>
      </c>
      <c r="AW19" s="3" t="inlineStr"/>
      <c r="AX19" s="3" t="inlineStr"/>
      <c r="AY19" s="3" t="inlineStr"/>
      <c r="AZ19" s="3" t="inlineStr">
        <is>
          <t>60</t>
        </is>
      </c>
    </row>
    <row r="20">
      <c r="A20" s="3" t="inlineStr">
        <is>
          <t>1585</t>
        </is>
      </c>
      <c r="B20" s="3" t="inlineStr">
        <is>
          <t>Inv. no. 1585</t>
        </is>
      </c>
      <c r="C20" s="3" t="inlineStr">
        <is>
          <t>Frieze</t>
        </is>
      </c>
      <c r="D20" s="3" t="inlineStr">
        <is>
          <t>إفريز</t>
        </is>
      </c>
      <c r="E20" s="3" t="inlineStr">
        <is>
          <t>From the madrasa of Tatar al-Higzaiyya</t>
        </is>
      </c>
      <c r="F20" s="3" t="inlineStr">
        <is>
          <t>من مدرسة تتر الحجازية</t>
        </is>
      </c>
      <c r="G20" s="3" t="inlineStr">
        <is>
          <t>Wooden panel, likely part of a longer frieze, with a repeating pattern of reciprocal polylobed arches inscribed with smaller ogee arches, trilobed fleurons, bifurcated leaves, and buds. The remains of polychromy in green and red attest to the once brightly colored appearance of the panel.</t>
        </is>
      </c>
      <c r="H20" s="3" t="inlineStr">
        <is>
          <t>لوح خشبى، يرجح أنه كان جزءا من إفريز أطول، يزدان بنمط متكرر جميل من عقود متعددة الفصوص متقابلة، تتضمن بداخلها عقودا أصغر على شكل قوس ذى انحناء مزدوج (قوس الأوجى)، وزهورا ثلاثية الفصوص، وأوراقا متشعبة الطرفين وبراعم. وتشهد آثار اللونين الأخضر والأحمر على أن اللوح كان فى الأصل ذا مظهر زاه ومشرق الألوان.</t>
        </is>
      </c>
      <c r="I20" s="3" t="inlineStr">
        <is>
          <t>Bahri Mamluk, 761-62 AH / 1360 CE</t>
        </is>
      </c>
      <c r="J20" s="3" t="inlineStr">
        <is>
          <t>مملوكى بحرى، ٧٦١-٧٦٢ هـ / ١٣٦٠ م</t>
        </is>
      </c>
      <c r="K20" s="3" t="inlineStr">
        <is>
          <t>W: 81 cm; H: 24 cm</t>
        </is>
      </c>
      <c r="L20" s="3" t="inlineStr">
        <is>
          <t>العرض: ٨١ سم، الطول: ٢٤ سم</t>
        </is>
      </c>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is>
          <t>https://mia.nadimfoundation.org/q1585</t>
        </is>
      </c>
      <c r="AT20" s="3">
        <f>IMAGE("https://api.qrserver.com/v1/create-qr-code/?size=300x300&amp;margin=8&amp;color=06444C&amp;bgcolor=EAE8D8&amp;data="&amp;ENCODEURL(AS20))</f>
        <v/>
      </c>
      <c r="AU20" s="3" t="inlineStr"/>
      <c r="AV20" s="3" t="inlineStr"/>
      <c r="AW20" s="3" t="inlineStr"/>
      <c r="AX20" s="3" t="inlineStr"/>
      <c r="AY20" s="3" t="inlineStr"/>
      <c r="AZ20" s="3" t="inlineStr">
        <is>
          <t>61</t>
        </is>
      </c>
    </row>
    <row r="21">
      <c r="A21" s="3" t="inlineStr">
        <is>
          <t>479</t>
        </is>
      </c>
      <c r="B21" s="3" t="inlineStr">
        <is>
          <t>Inv. no. 479</t>
        </is>
      </c>
      <c r="C21" s="3" t="inlineStr">
        <is>
          <t>Spandrel from an Archway</t>
        </is>
      </c>
      <c r="D21" s="3" t="inlineStr">
        <is>
          <t>قائم بجزء من عقد</t>
        </is>
      </c>
      <c r="E21" s="3" t="inlineStr">
        <is>
          <t>From the khanqah of Baybars al-Gashankir</t>
        </is>
      </c>
      <c r="F21" s="3" t="inlineStr">
        <is>
          <t>من خانقاه بيبرس الجاشنكير</t>
        </is>
      </c>
      <c r="G21" s="3" t="inlineStr">
        <is>
          <t>This spandrel, originating from the khanqah founded by Sultan Baybars al-Gashankir (709-10 AH / 1309-10 CE), likely formed part of the frame surrounding the front doors of a minbar, although the original minbar itself no longer survives. The carvings, typical of the Ayyubid and Mamluk periods, feature scrolling arabesques, trilobed fleurons, large leaves, and downward curling buds rendered in relief. Comparable motifs appear on the spandrils of the mausoleum’s keel-arched entrance, set within a perforated screen executed in maymouni-style woodturning. The Museum also houses two other wooden pieces from the khanqah: a cupboard, Inv. No. 478, and a window shutter with its frame and leaves, Inv. No. 480, the latter suspected to have been reused from a Fatimid palace on the same site.</t>
        </is>
      </c>
      <c r="H21" s="3" t="inlineStr">
        <is>
          <t>هذه القطعة التى تعود إلى الخانقاه التى أسسها السلطان بيبرس الجاشنكير ( ٧٠٩-٧١٠ هـ / ١٣٠٩-١٣١٠ م)، كانت تشكل على الأرجح جزءا من الإطار المحيط بالأبواب الأمامية للمنبر، على الرغم من أن المنبر الأصلى نفسه لم يعد موجودا. وتزدان القطعة بالتصاميم الزخرفية التى سادت فى العصرين الأيوبى والمملوكى، حيث تشمل أرابيسك ملتفا، وزهورا ثلاثية الفصوص، وأوراقا نباتية كبيرة، وبراعم ملتفة نحو الأسفل منفذة بحفر بارز. وتظهر زخارف مماثلة فى ركنيات (حنيات) مدخل الضريح ذى العقد المنكسر، ضمن حجاب مفرغ منفذ بأسلوب الخرط الخشبى من النوع الميمونى. كما يضم المتحف أيضا قطعتين خشبيتين أخريين من الخانقاه وهما: خزانة، رقم تسجيل ٤٧٨، ومصراع نافذة بإطاره وضلفتيه، رقم تسجيل ٤٨٠، ويرجح أن الأخيرة أعيد استخدامها من قصر فاطمى كان قائما فى الموقع نفسه.</t>
        </is>
      </c>
      <c r="I21" s="3" t="inlineStr">
        <is>
          <t>Bahri Mamluk, 709-10 AH / 1309-10 CE</t>
        </is>
      </c>
      <c r="J21" s="3" t="inlineStr">
        <is>
          <t>مملوكى بحرى، ٧٠٩-٧١٠ هـ / ١٣٠٩-١٣١٠ م</t>
        </is>
      </c>
      <c r="K21" s="3" t="inlineStr">
        <is>
          <t>W: 17.5 cm; H: 181 cm</t>
        </is>
      </c>
      <c r="L21" s="3" t="inlineStr">
        <is>
          <t>العرض: ١٧٫٥ سم، الطول: ١٨١ سم</t>
        </is>
      </c>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is>
          <t>https://mia.nadimfoundation.org/q479</t>
        </is>
      </c>
      <c r="AT21" s="3">
        <f>IMAGE("https://api.qrserver.com/v1/create-qr-code/?size=300x300&amp;margin=8&amp;color=06444C&amp;bgcolor=EAE8D8&amp;data="&amp;ENCODEURL(AS21))</f>
        <v/>
      </c>
      <c r="AU21" s="3" t="inlineStr"/>
      <c r="AV21" s="3" t="inlineStr"/>
      <c r="AW21" s="3" t="inlineStr"/>
      <c r="AX21" s="3" t="inlineStr"/>
      <c r="AY21" s="3" t="inlineStr"/>
      <c r="AZ21" s="3" t="inlineStr">
        <is>
          <t>62</t>
        </is>
      </c>
    </row>
    <row r="22">
      <c r="A22" s="3" t="inlineStr">
        <is>
          <t>466</t>
        </is>
      </c>
      <c r="B22" s="3" t="inlineStr">
        <is>
          <t>Inv. no. 466</t>
        </is>
      </c>
      <c r="C22" s="3" t="inlineStr">
        <is>
          <t>Spandrels from an Archway</t>
        </is>
      </c>
      <c r="D22" s="3" t="inlineStr">
        <is>
          <t>جزء من عقدين</t>
        </is>
      </c>
      <c r="E22" s="3" t="inlineStr">
        <is>
          <t>From the mosque of Sultan Barquq (786-88 AH / 1384-86 CE)</t>
        </is>
      </c>
      <c r="F22" s="3" t="inlineStr">
        <is>
          <t>من مسجد السلطان برقوق (٧٨٦-٧٨٨ هـ / ١٣٨٤-١٣٨٦ م)</t>
        </is>
      </c>
      <c r="G22" s="3" t="inlineStr">
        <is>
          <t>These spandrels, likely forming part of the front door frame of a minbar of uncertain provenance in the mosque of Sultan Barquq (786-88 AH / 1384-86 CE), are carved in relief with prominent scrolling arabesques, trilobed fleurons, large leaves, and curling buds, contrasting with the relatively plain and garishly gilded minbar currently on-site. While Sultan Barquq may have originally commissioned a minbar for the site, historical records indicate it was replaced in the mid-fifteenth century by another minbar associated with Sultan al-Zahir Jaqmaq (r. 842-57 AH / 1438-53 CE); the ultimate fate of both furnishings remains uncertain. Though removed from its original setting, this piece nevertheless conveys the subtlety of Mamluk craftsmanship and the enduring appeal of its ornamental language.</t>
        </is>
      </c>
      <c r="H22" s="3" t="inlineStr">
        <is>
          <t>تعد هذه الأجزاء من العقود، التى يرجح أنها كانت جزءا من إطار الباب الأمامى لمنبر غير معروف الأصل فى مسجد السلطان برقوق (٧٨٦-٧٨٨ هـ / ١٣٨٤-١٣٨٦ م)، مزينة بحفر بارز لزخارف الأرابيسك الملتفة البارزة، وزهرات ثلاثية الفصوص، وأوراق شجرية كبيرة، وهى تتناقض بوضوح مع المنبر القائم حاليا فى الموقع، وهو بسيط نسبيا ومذهب بكثافة. ورغم احتمال أن السلطان برقوق قد أمر بصنع منبر أصلى للمسجد، إلا أن السجلات التاريخية تشير إلى استبداله فى منتصف القرن الخامس عشر بمنبر آخر نسب إلى السلطان الظاهر جقمق (حكم ٨٤٢-٨٥٧ هـ / ١٤٣٨-١٤٥٣ م)، فيما يبقى المصير النهائى لكلا المنبرين غير مؤكد. وعلى الرغم من فصلها عن سياقها الأصلى، فإن هذه القطعة تجسد دقة الصنعة المملوكية وجاذبية لغتها الزخرفية المستمرة.</t>
        </is>
      </c>
      <c r="I22" s="3" t="inlineStr">
        <is>
          <t>Burji Mamluk, 786-88 or mid-9th century AH / 1384-86 or mid-15th century CE</t>
        </is>
      </c>
      <c r="J22" s="3" t="inlineStr">
        <is>
          <t>مملوكى برجى، ٧٨٦-٧٨٨ هـ أو منتصف القرن التاسع الهجرى، ١٣٨٤-١٣٨٦ م أو منتصف القرن الخامس عشر الميلادى</t>
        </is>
      </c>
      <c r="K22" s="3" t="inlineStr">
        <is>
          <t>W: 73 cm; H: 23.4 cm</t>
        </is>
      </c>
      <c r="L22" s="3" t="inlineStr">
        <is>
          <t>العرض: ٧٣ سم، الطول: ٢٣٫٤ سم</t>
        </is>
      </c>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is>
          <t>https://mia.nadimfoundation.org/q466</t>
        </is>
      </c>
      <c r="AT22" s="3">
        <f>IMAGE("https://api.qrserver.com/v1/create-qr-code/?size=300x300&amp;margin=8&amp;color=06444C&amp;bgcolor=EAE8D8&amp;data="&amp;ENCODEURL(AS22))</f>
        <v/>
      </c>
      <c r="AU22" s="3" t="inlineStr"/>
      <c r="AV22" s="3" t="inlineStr"/>
      <c r="AW22" s="3" t="inlineStr"/>
      <c r="AX22" s="3" t="inlineStr"/>
      <c r="AY22" s="3" t="inlineStr"/>
      <c r="AZ22" s="3" t="inlineStr">
        <is>
          <t>63</t>
        </is>
      </c>
    </row>
    <row r="23">
      <c r="A23" s="3" t="inlineStr">
        <is>
          <t>467-1-2</t>
        </is>
      </c>
      <c r="B23" s="3" t="inlineStr">
        <is>
          <t>Inv. no. 467/1-2</t>
        </is>
      </c>
      <c r="C23" s="3" t="inlineStr">
        <is>
          <t>Panels</t>
        </is>
      </c>
      <c r="D23" s="3" t="inlineStr">
        <is>
          <t>ألواح</t>
        </is>
      </c>
      <c r="E23" s="3" t="inlineStr"/>
      <c r="F23" s="3" t="inlineStr"/>
      <c r="G23" s="3" t="inlineStr">
        <is>
          <t>Two panels decorated with restrained geometric motifs. Their scale, proportions, and intricate interlocking joinery, clearly visible on the reverse, suggest they were originally part of a smaller woodworked object, such as a cupboard, chair, bench, lintel, or possibly a component of a minbar.</t>
        </is>
      </c>
      <c r="H23" s="3" t="inlineStr">
        <is>
          <t>حشوتان مزخرفتان بتصاميم هندسية بسيطة. يشير حجمهما ونسبهما وأسلوب التعشيق المتداخل الدقيق الذى يظهر على الجهة الخلفية إلى أنهما كانتا فى الأصل جزءا من عنصر خشبى أصغر، مثل خزانة، أو كرسى، أو مقعد، أو عتب، أو ربما جزءا من منبر.</t>
        </is>
      </c>
      <c r="I23" s="3" t="inlineStr"/>
      <c r="J23" s="3" t="inlineStr"/>
      <c r="K23" s="3" t="inlineStr">
        <is>
          <t>467/1 - W: 54 cm; H: 36.5 cm
467/2 - W: 55 cm; H: 37.5 cm</t>
        </is>
      </c>
      <c r="L23" s="3" t="inlineStr">
        <is>
          <t>٤٦٧/١ - العرض ٥٤ سم، الطول ٣٦٫٥ سم
٤٦٧/٢ - العرض ٥٥ سم، الطول ٣٧٫٥ سم</t>
        </is>
      </c>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is>
          <t>https://mia.nadimfoundation.org/q467-1-2</t>
        </is>
      </c>
      <c r="AT23" s="3">
        <f>IMAGE("https://api.qrserver.com/v1/create-qr-code/?size=300x300&amp;margin=8&amp;color=06444C&amp;bgcolor=EAE8D8&amp;data="&amp;ENCODEURL(AS23))</f>
        <v/>
      </c>
      <c r="AU23" s="3" t="inlineStr"/>
      <c r="AV23" s="3" t="inlineStr"/>
      <c r="AW23" s="3" t="inlineStr"/>
      <c r="AX23" s="3" t="inlineStr"/>
      <c r="AY23" s="3" t="inlineStr"/>
      <c r="AZ23" s="3" t="inlineStr">
        <is>
          <t>70</t>
        </is>
      </c>
    </row>
    <row r="24">
      <c r="A24" s="3" t="inlineStr">
        <is>
          <t>1648</t>
        </is>
      </c>
      <c r="B24" s="3" t="inlineStr">
        <is>
          <t>Inv. no. 1648</t>
        </is>
      </c>
      <c r="C24" s="3" t="inlineStr">
        <is>
          <t>Panel from a Window Frame</t>
        </is>
      </c>
      <c r="D24" s="3" t="inlineStr">
        <is>
          <t>لوح من إطار شباك</t>
        </is>
      </c>
      <c r="E24" s="3" t="inlineStr">
        <is>
          <t>From the mausoleum of Sayyida Nafisa</t>
        </is>
      </c>
      <c r="F24" s="3" t="inlineStr">
        <is>
          <t>من ضريح السيدة نفيسة</t>
        </is>
      </c>
      <c r="G24" s="3" t="inlineStr">
        <is>
          <t>This finely interlocked and carved wooden panel once formed the upper section of a window frame from the mausoleum of Sayyida Nafisa. A complete example from the same site, housed in the Museum’s permanent collection (Inv. No. 1645), suggests the two once formed a matching set. The work is generally dated to 1137-38 or 1146-47 (521-32 or 540-41 AH), corresponding to the restoration campaigns undertaken at the shrine by the Fatimid caliph al-Hafiz. Together with its intact counterpart and the celebrated portable wooden mihrab from the mausoleum (Inv. No. 421), this fragment stands as a testament to the exquisite craftsmanship of this era, showcasing the intricate interplay of geometric frameworks and luxuriant vegetal ornament, likely once complemented, as in Inv. No. 1645, by carved inscriptions.</t>
        </is>
      </c>
      <c r="H24" s="3" t="inlineStr">
        <is>
          <t>صورة فوتوغرافية بالأبيض والأسود لإطار نافذة من ضريح السيدة نفيسة (منتصف القرن السادس الهجرى / الثانى عشر الميلادى)، رقم تسجيل ١٦٤٥. الصورة من متحف الفن الإسلامى بالقاهرة، مجموعة صور السلبيات الأرشيفية لوح خشبى معشق ومحفور بدقة، كان يشكل فى الأصل الجزء العلوى من إطار نافذة بضريح السيدة نفيسة. ويشير وجود نموذج كامل لنافذة أخرى من الموقع نفسه، محفوظ ضمن مقتنيات المتحف (رقم التسجيل ١٦٤٥)، إلا أن القطعتين كانتا تشكلان سابقا طقما مؤتلفا بغير تطابق. ويؤرخ العمل فى الغالب بالفترة ما بين (٥٣١-٥٣٢ هـ أو ٥٤٠-٥٤١ هـ / ١١٣٧-١١٣٨ م أو ١١٤٦-١١٤٧ م)، وهو ما يتوافق مع حملات الترميم التى أجريت فى المشهد برعاية الخليفة الفاطمى الحافظ لدين للها. وإلى جانب نظيرتها المكتملة والمحراب الخشبى المتنقل الشهير من الضريح (رقم التسجيل ٤٢١)، تمثل هذه القطعة شاهدا على دقة الصنعة فى تلك الحقبة، إذ تبرز التداخل المعقد بين الأطر الهندسية والزخارف النباتية الغنية، والتى كان يرجح أن تتممها كتابات محفورة، كما هو الحال فى القطعة المسجلة برقم ١٦٤٥.</t>
        </is>
      </c>
      <c r="I24" s="3" t="inlineStr">
        <is>
          <t>Fatimid, 531-32 or 540-41 AH / 1137-38 or 1146-47 CE</t>
        </is>
      </c>
      <c r="J24" s="3" t="inlineStr">
        <is>
          <t>فاطمى، ٥٣١-٥٣٢ أو ٥٤٠-٥٤١ هـ / ١١٣٧-١١٣٨ أو ١١٤٦-١١٤٧ م</t>
        </is>
      </c>
      <c r="K24" s="3" t="inlineStr">
        <is>
          <t>W: 129 cm; H: 43 cm</t>
        </is>
      </c>
      <c r="L24" s="3" t="inlineStr">
        <is>
          <t>العرض: ١٢٩ سم، الطول: ٤٣ سم</t>
        </is>
      </c>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is>
          <t>https://mia.nadimfoundation.org/q1648</t>
        </is>
      </c>
      <c r="AT24" s="3">
        <f>IMAGE("https://api.qrserver.com/v1/create-qr-code/?size=300x300&amp;margin=8&amp;color=06444C&amp;bgcolor=EAE8D8&amp;data="&amp;ENCODEURL(AS24))</f>
        <v/>
      </c>
      <c r="AU24" s="3" t="inlineStr"/>
      <c r="AV24" s="3" t="inlineStr"/>
      <c r="AW24" s="3" t="inlineStr"/>
      <c r="AX24" s="3" t="inlineStr"/>
      <c r="AY24" s="3" t="inlineStr"/>
      <c r="AZ24" s="3" t="inlineStr">
        <is>
          <t>72</t>
        </is>
      </c>
    </row>
    <row r="25">
      <c r="A25" s="3" t="inlineStr">
        <is>
          <t>9748</t>
        </is>
      </c>
      <c r="B25" s="3" t="inlineStr">
        <is>
          <t>Inv. no. 9748</t>
        </is>
      </c>
      <c r="C25" s="3" t="inlineStr">
        <is>
          <t>Wooden Panel</t>
        </is>
      </c>
      <c r="D25" s="3" t="inlineStr">
        <is>
          <t>لوح خشبى</t>
        </is>
      </c>
      <c r="E25" s="3" t="inlineStr"/>
      <c r="F25" s="3" t="inlineStr"/>
      <c r="G25" s="3" t="inlineStr">
        <is>
          <t>Section of a wooden panel featuring a prominent strapwork star pattern with infills of dense arabesques and Kufic epigraphy, all carved in relief in a style indicative of an 11th-12th century (5th-6th century AH) Fatimid date. Closer examination reveals finely incised lines accentuating the vegetal forms, while the inscriptions repeat the words baraka (“blessing”) and ni‘ma (“grace”), highlighting the auspicious character of the decoration. Similar designs were also found on textiles of this period, reflecting a shared visual vocabulary across different media. The panel would likely have been affixed in a vertical position, with flanking boards completing the design, as in the central area of the portable mihrab of Sayyida Ruqayya (548-55 AH / 1154-60 CE).</t>
        </is>
      </c>
      <c r="H25" s="3" t="inlineStr">
        <is>
          <t>جزء من إفريز خشبى يتضمن تكوينا نجميا بارزا قائما على نظام الإنان، تتخلله حشوات من أرابيسك كثيفة ونقوش كتابية كوفية، جميعها منفذة بالحفر البارز بأسلوب يعود إلى القرنين الخامس والسادس الهجريين، (القرن الحادى عشر والثانى عشر الميلادى) الموافق للعصر الفاطمى. وتكشف النظرة المدققة عن خطوط محفورة رفيعة تبرز تفاصيل العناصر النباتية، بينما تكرر النقوش كلمتى «بركة» و«نعمة»، بما يؤكد الطابع التفاؤلى للزخرفة، كما أنها أيضا وجدت على قطع النسيج فى هذه الفترة بشكل متكرر، مما يؤكد على وجود لغة بصرية مشتركة للوسائط الفنية المختلفة. ويرجح أن هذه الحشوة قد ثبتت فى وضع رأسى، محاطة بألواح خشبية أخرى لتكتمل بها صورة التصميم، تماما كما نرى فى الجزء الأوسط من محراب السيدة رقية المتنقل (٥٤٨-٥٥٥ هـ / ١١٥٤-١١٦٠ م).</t>
        </is>
      </c>
      <c r="I25" s="3" t="inlineStr"/>
      <c r="J25" s="3" t="inlineStr"/>
      <c r="K25" s="3" t="inlineStr">
        <is>
          <t>W: 18.5 cm; H: 92 cm</t>
        </is>
      </c>
      <c r="L25" s="3" t="inlineStr">
        <is>
          <t>العرض: ١٨٫٥ سم، الطول: ٩٢ سم</t>
        </is>
      </c>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is>
          <t>https://mia.nadimfoundation.org/q9748</t>
        </is>
      </c>
      <c r="AT25" s="3">
        <f>IMAGE("https://api.qrserver.com/v1/create-qr-code/?size=300x300&amp;margin=8&amp;color=06444C&amp;bgcolor=EAE8D8&amp;data="&amp;ENCODEURL(AS25))</f>
        <v/>
      </c>
      <c r="AU25" s="3" t="inlineStr"/>
      <c r="AV25" s="3" t="inlineStr"/>
      <c r="AW25" s="3" t="inlineStr">
        <is>
          <t>Purchased from Monsieur Isidore</t>
        </is>
      </c>
      <c r="AX25" s="3" t="inlineStr">
        <is>
          <t>مشترى من مسيو إيزيدور</t>
        </is>
      </c>
      <c r="AY25" s="3" t="inlineStr"/>
      <c r="AZ25" s="3" t="inlineStr">
        <is>
          <t>74</t>
        </is>
      </c>
    </row>
    <row r="26">
      <c r="A26" s="3" t="inlineStr">
        <is>
          <t>4140</t>
        </is>
      </c>
      <c r="B26" s="3" t="inlineStr">
        <is>
          <t>Inv. no. 4140</t>
        </is>
      </c>
      <c r="C26" s="3" t="inlineStr">
        <is>
          <t>Door Leaf</t>
        </is>
      </c>
      <c r="D26" s="3" t="inlineStr">
        <is>
          <t>مصراع باب</t>
        </is>
      </c>
      <c r="E26" s="3" t="inlineStr"/>
      <c r="F26" s="3" t="inlineStr"/>
      <c r="G26" s="3" t="inlineStr">
        <is>
          <t>Wooden door leaf decorated with diagonally oriented elongated hexagons alternating with small triangles in a pattern known locally as kirindazi. The carved pieces are decorated with symmetrical arrangements of dense vegetal scrolls, complete with trilobed fleurons — sometimes with hollow centres — leaves, and buds. Compositions of this type were widespread in Cairo from the Ayyubid period onwards.</t>
        </is>
      </c>
      <c r="H26" s="3" t="inlineStr">
        <is>
          <t>مصراع باب خشبى مزين بحشوات مسدسة مستطيلة الشكل ذات توجيه قطرى، تتناوب مع مثلثات صغيرة ضمن نمط يعرف محليا باسم «الكرندازى». وتزدان الحشوات المطعمة بزخارف نباتية ملتفة كثيفة مرتبة فى تكوينات متناظرة، تبرز فيها وريقات ثلاثية البتلات ذات مراكز مفرغة أحيانا، إلى جانب أوراق نباتية وبراعم. ويعد هذا الأسلوب الزخرفى من السمات التى شاع استخدامها فى القاهرة منذ العصر الأيوبى وما تلاه.</t>
        </is>
      </c>
      <c r="I26" s="3" t="inlineStr">
        <is>
          <t>Ayyubid or Mamluk, late 6th-mid 7th centuries AH / late 12th-mid- 13th centuries CE</t>
        </is>
      </c>
      <c r="J26" s="3" t="inlineStr">
        <is>
          <t>أيوبى أو مملوكى، أواخر القرن السادس - منتصف القرن السابع الهجرى / أواخر القرن الثانى عشر - منتصف القرن الثالث عشر الميلادى</t>
        </is>
      </c>
      <c r="K26" s="3" t="inlineStr">
        <is>
          <t>W: 180 cm; H: 39 cm</t>
        </is>
      </c>
      <c r="L26" s="3" t="inlineStr">
        <is>
          <t>العرض: ١٨٠ سم، الطول: ٣٩ سم</t>
        </is>
      </c>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is>
          <t>https://mia.nadimfoundation.org/q4140</t>
        </is>
      </c>
      <c r="AT26" s="3">
        <f>IMAGE("https://api.qrserver.com/v1/create-qr-code/?size=300x300&amp;margin=8&amp;color=06444C&amp;bgcolor=EAE8D8&amp;data="&amp;ENCODEURL(AS26))</f>
        <v/>
      </c>
      <c r="AU26" s="3" t="inlineStr"/>
      <c r="AV26" s="3" t="inlineStr"/>
      <c r="AW26" s="3" t="inlineStr"/>
      <c r="AX26" s="3" t="inlineStr"/>
      <c r="AY26" s="3" t="inlineStr"/>
      <c r="AZ26" s="3" t="inlineStr">
        <is>
          <t>75</t>
        </is>
      </c>
    </row>
    <row r="27">
      <c r="A27" s="3" t="inlineStr">
        <is>
          <t>644</t>
        </is>
      </c>
      <c r="B27" s="3" t="inlineStr">
        <is>
          <t>Inv. no. 644</t>
        </is>
      </c>
      <c r="C27" s="3" t="inlineStr">
        <is>
          <t>Frieze</t>
        </is>
      </c>
      <c r="D27" s="3" t="inlineStr">
        <is>
          <t>إفريز</t>
        </is>
      </c>
      <c r="E27" s="3" t="inlineStr">
        <is>
          <t>From the mosque of al-Mu’ayyad Shaykh</t>
        </is>
      </c>
      <c r="F27" s="3" t="inlineStr">
        <is>
          <t>من مسجد المؤيد شيخ</t>
        </is>
      </c>
      <c r="G27" s="3" t="inlineStr">
        <is>
          <t>A long wooden frieze, partially preserved, recovered from the mosque of al-Mu’ayyad Shaykh (818-24 AH / 1415-21 CE). The decoration is composed of large elongated hexagons subdivided into a series of smaller panels, each carved in relief with arabesque scrolls featuring trefoils, fleur-de-lys, and leaves.</t>
        </is>
      </c>
      <c r="H27" s="3" t="inlineStr">
        <is>
          <t>جزء من إفريز خشبى طويل، استخرج من مسجد المؤيد شيخ (٨١٨-٨٢٤ هـ / ١٤١٥-١٤٢١ م). تتكون زخرفته من سداسيات كبيرة ممدودة مقسمة إلى سلسلة من ألواح أصغر، حفر كل منها بحفر بارز بزخارف أرابيسك تتضمن زهرات ثلاثية الفصوص، وزهور الزنبق، وأوراقا نباتية.</t>
        </is>
      </c>
      <c r="I27" s="3" t="inlineStr">
        <is>
          <t>Burji Mamluk, 818-24 AH / 1415-21 CE</t>
        </is>
      </c>
      <c r="J27" s="3" t="inlineStr">
        <is>
          <t>مملوكى برجى، ٨١٨-٨٢٤ هـ / ١٤١٥-١٤٢١ م</t>
        </is>
      </c>
      <c r="K27" s="3" t="inlineStr">
        <is>
          <t>W: 201 cm; H: 27.5 cm</t>
        </is>
      </c>
      <c r="L27" s="3" t="inlineStr">
        <is>
          <t>العرض: ٢٠١ سم، الطول: ٢٧٫٥ سم</t>
        </is>
      </c>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is>
          <t>https://mia.nadimfoundation.org/q644</t>
        </is>
      </c>
      <c r="AT27" s="3">
        <f>IMAGE("https://api.qrserver.com/v1/create-qr-code/?size=300x300&amp;margin=8&amp;color=06444C&amp;bgcolor=EAE8D8&amp;data="&amp;ENCODEURL(AS27))</f>
        <v/>
      </c>
      <c r="AU27" s="3" t="inlineStr"/>
      <c r="AV27" s="3" t="inlineStr"/>
      <c r="AW27" s="3" t="inlineStr"/>
      <c r="AX27" s="3" t="inlineStr"/>
      <c r="AY27" s="3" t="inlineStr"/>
      <c r="AZ27" s="3" t="inlineStr">
        <is>
          <t>76</t>
        </is>
      </c>
    </row>
    <row r="28">
      <c r="A28" s="3" t="inlineStr">
        <is>
          <t>3132</t>
        </is>
      </c>
      <c r="B28" s="3" t="inlineStr">
        <is>
          <t>Inv. no. 3132</t>
        </is>
      </c>
      <c r="C28" s="3" t="inlineStr">
        <is>
          <t>Frieze</t>
        </is>
      </c>
      <c r="D28" s="3" t="inlineStr">
        <is>
          <t>إفريز</t>
        </is>
      </c>
      <c r="E28" s="3" t="inlineStr">
        <is>
          <t>From the mosque of Sudun min Zadeh</t>
        </is>
      </c>
      <c r="F28" s="3" t="inlineStr">
        <is>
          <t>من مسجد سودون من زاده</t>
        </is>
      </c>
      <c r="G28" s="3" t="inlineStr">
        <is>
          <t>A long wooden frieze, partially preserved, recovered from the mosque of Sudun min Zadeh (803-04 AH / 1401 CE). The fragment comprises three complete panels, with designs arranged on a grid of bisected diamonds, each containing carved rectangles and hexagonal cartouches punctuated by triangles at their midpoints, filled with small scrolls, leaves, trefoils, and buds. Large holes along its length indicate how it was once affixed to supporting structures. Removed in the late nineteenth century after the site fell into ruin, the frieze preserves a valuable fragment of the mosque’s original ornamentation.</t>
        </is>
      </c>
      <c r="H28" s="3" t="inlineStr">
        <is>
          <t>جزء من إفريز خشبى طويل، نقل من مسجد سودون من زاده (٨٠٣-٨٠٤ هـ / ١٤٠١ م). تتكون هذه القطعة من ثلاثة ألواح كاملة، تنتظم زخارفها على شبكة من معينات مشطورة، يحتوى كل منها على مستطيلات محفورة وخرطوشات سداسية تتخللها مثلثات عند نقاط منتصفها، ومملوءة بلفائف صغيرة وأوراق وبراعم ووريقات ثلاثية. تشير الثقوب الكبيرة الممتدة على طوله إلى الكيفية التى كان يثبت بها فى الهياكل الداعمة. وقد أزيل فى أواخر القرن التاسع عشر بعد أن آل الموقع إلى الخراب، ليحفظ هذا الإفريز جزء ثمينا من الزخرفة الأصلية للمسجد.</t>
        </is>
      </c>
      <c r="I28" s="3" t="inlineStr">
        <is>
          <t>Burji Mamluk, 803-04 AH / 1401 CE</t>
        </is>
      </c>
      <c r="J28" s="3" t="inlineStr">
        <is>
          <t>مملوكى برجى، ٨٠٣-٨٠٤ هـ / ١٤٠١ م</t>
        </is>
      </c>
      <c r="K28" s="3" t="inlineStr">
        <is>
          <t>W: 182 cm; L: 26 cm</t>
        </is>
      </c>
      <c r="L28" s="3" t="inlineStr">
        <is>
          <t>العرض: ١٨٢ سم، الطول: ٢٦ سم</t>
        </is>
      </c>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is>
          <t>https://mia.nadimfoundation.org/q3132</t>
        </is>
      </c>
      <c r="AT28" s="3">
        <f>IMAGE("https://api.qrserver.com/v1/create-qr-code/?size=300x300&amp;margin=8&amp;color=06444C&amp;bgcolor=EAE8D8&amp;data="&amp;ENCODEURL(AS28))</f>
        <v/>
      </c>
      <c r="AU28" s="3" t="inlineStr"/>
      <c r="AV28" s="3" t="inlineStr"/>
      <c r="AW28" s="3" t="inlineStr"/>
      <c r="AX28" s="3" t="inlineStr"/>
      <c r="AY28" s="3" t="inlineStr"/>
      <c r="AZ28" s="3" t="inlineStr">
        <is>
          <t>77</t>
        </is>
      </c>
    </row>
    <row r="29">
      <c r="A29" s="3" t="inlineStr">
        <is>
          <t>431</t>
        </is>
      </c>
      <c r="B29" s="3" t="inlineStr">
        <is>
          <t>Inv. no. 431</t>
        </is>
      </c>
      <c r="C29" s="3" t="inlineStr">
        <is>
          <t>Panel from a Door Leaf</t>
        </is>
      </c>
      <c r="D29" s="3" t="inlineStr">
        <is>
          <t>حشوة من مصراع باب</t>
        </is>
      </c>
      <c r="E29" s="3" t="inlineStr"/>
      <c r="F29" s="3" t="inlineStr"/>
      <c r="G29" s="3" t="inlineStr">
        <is>
          <t>This restored fragment of a door leaf exemplifies a Mamluk aesthetic, featuring a geometric composition of large six-pointed stars encircled by hexagons and irregular pentagons. Ivory was used both in the smaller inlays and the borders of the larger elements, all fitted using complex interlocking joinery, evidence of which remains visible on the panel’s reverse. The carved semi-naturalistic vegetal scrolls and trilobed fleurons are offset by the panel’s prevailing angular geometry.</t>
        </is>
      </c>
      <c r="H29" s="3" t="inlineStr">
        <is>
          <t>تمثل هذه الحشوة المرممة من مصراع باب مثالا واضحا على جماليات الطراز المملوكى، إذ تتضمن تكوينا هندسيا يقوم على نجوم سداسية كبيرة تحيط بها أشكال سداسية وأخرى خماسية غير منتظمة. وقد استخدم العاج فى وحدات التطعيم الصغيرة وكذلك فى أطر العناصر الأكبر حجما، وجمعت بتقنية التعشيق المعقد، ولا تزال دلائل هذه التقنية ظاهرة على ظهر القطعة. كما يحتوى التكوين الزخرفى على زخارف نباتية محفورة ذات طابع قريب من الطبيعة تتمثل فى لفائف نباتية وعناصر زخرفية محفورة وأخرى ثلاثية الفصوص والتى تضفى قدرا من التوازن البصرى مع الطابع الحاد الذى أنتجه التكوين الهندسى، فتخفف من حدتها دون أن تخل بإحكامها البنائى.</t>
        </is>
      </c>
      <c r="I29" s="3" t="inlineStr"/>
      <c r="J29" s="3" t="inlineStr"/>
      <c r="K29" s="3" t="inlineStr">
        <is>
          <t>W: 34.7 cm; H: 88 cm</t>
        </is>
      </c>
      <c r="L29" s="3" t="inlineStr">
        <is>
          <t>العرض: ٣٤٫٧ سم، الطول: ٨٨ سم</t>
        </is>
      </c>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is>
          <t>https://mia.nadimfoundation.org/q431</t>
        </is>
      </c>
      <c r="AT29" s="3">
        <f>IMAGE("https://api.qrserver.com/v1/create-qr-code/?size=300x300&amp;margin=8&amp;color=06444C&amp;bgcolor=EAE8D8&amp;data="&amp;ENCODEURL(AS29))</f>
        <v/>
      </c>
      <c r="AU29" s="3" t="inlineStr"/>
      <c r="AV29" s="3" t="inlineStr"/>
      <c r="AW29" s="3" t="inlineStr"/>
      <c r="AX29" s="3" t="inlineStr"/>
      <c r="AY29" s="3" t="inlineStr"/>
      <c r="AZ29" s="3" t="inlineStr">
        <is>
          <t>78</t>
        </is>
      </c>
    </row>
    <row r="30">
      <c r="A30" s="3" t="inlineStr">
        <is>
          <t>2972</t>
        </is>
      </c>
      <c r="B30" s="3" t="inlineStr">
        <is>
          <t>Inv. no. 2972</t>
        </is>
      </c>
      <c r="C30" s="3" t="inlineStr">
        <is>
          <t>Cabinet Leaf</t>
        </is>
      </c>
      <c r="D30" s="3" t="inlineStr">
        <is>
          <t>واجهة خزانة</t>
        </is>
      </c>
      <c r="E30" s="3" t="inlineStr">
        <is>
          <t>From the mosque of al-Azhar</t>
        </is>
      </c>
      <c r="F30" s="3" t="inlineStr">
        <is>
          <t>من الجامع الأزهر</t>
        </is>
      </c>
      <c r="G30" s="3" t="inlineStr">
        <is>
          <t>Cabinet leaf in a typically Mamluk style, featuring an elegant interlocking joinery composition of halved twelve- and eight-pointed stars in wood and ivory. Though the panel would once have presented a striking visual effect, the surviving inlay and joinery pieces have suffered considerable loss: many of the ivory elements are missing, and one half of the central twelve-pointed star is absent. Remnants of the original metal hinge fixtures are preserved along the outer edge.</t>
        </is>
      </c>
      <c r="H30" s="3" t="inlineStr">
        <is>
          <t>مصراع باب خزانة على الطراز المملوكى، يتضمن تكوينا زخرفيا أنيقا يعتمد على تقنية التعشيق، ويجمع بين أنصاف أطباق نجمية اثنى عشرية وثمانية نفذت بأسلوب التطعيم بالخشب والعاج. ورغم أن المصراع كان فى الأصل يحدث أثرا بصريا أخاذا، إلا أن الوحدات المطعمة والحشوات المعشقة الباقية تعرضت لفقدان كبير؛ إذ غابت العديد من قطع العاج، كما فقد نصف الطبق النجمى الاثنى عشرى المركزى. ولا تزال بقايا المفصلات المعدنية الأصلية محفوظة على الحافة الخارجية للمصراع.</t>
        </is>
      </c>
      <c r="I30" s="3" t="inlineStr"/>
      <c r="J30" s="3" t="inlineStr"/>
      <c r="K30" s="3" t="inlineStr">
        <is>
          <t>W: 44.2 cm; H: 93 cm</t>
        </is>
      </c>
      <c r="L30" s="3" t="inlineStr">
        <is>
          <t>العرض: ٤٤٫٢ سم، الطول: ٩٣ سم</t>
        </is>
      </c>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is>
          <t>https://mia.nadimfoundation.org/q2972</t>
        </is>
      </c>
      <c r="AT30" s="3">
        <f>IMAGE("https://api.qrserver.com/v1/create-qr-code/?size=300x300&amp;margin=8&amp;color=06444C&amp;bgcolor=EAE8D8&amp;data="&amp;ENCODEURL(AS30))</f>
        <v/>
      </c>
      <c r="AU30" s="3" t="inlineStr">
        <is>
          <t>Registered April 1902</t>
        </is>
      </c>
      <c r="AV30" s="3" t="inlineStr">
        <is>
          <t>سجل فى أبريل ١٩٠٢</t>
        </is>
      </c>
      <c r="AW30" s="3" t="inlineStr"/>
      <c r="AX30" s="3" t="inlineStr"/>
      <c r="AY30" s="3" t="inlineStr"/>
      <c r="AZ30" s="3" t="inlineStr">
        <is>
          <t>80</t>
        </is>
      </c>
    </row>
    <row r="31">
      <c r="A31" s="3" t="inlineStr">
        <is>
          <t>3102</t>
        </is>
      </c>
      <c r="B31" s="3" t="inlineStr">
        <is>
          <t>Inv. no. 3102</t>
        </is>
      </c>
      <c r="C31" s="3" t="inlineStr">
        <is>
          <t>Panel</t>
        </is>
      </c>
      <c r="D31" s="3" t="inlineStr">
        <is>
          <t>لوح</t>
        </is>
      </c>
      <c r="E31" s="3" t="inlineStr">
        <is>
          <t>From the mosque of Aslam al-Silahdar</t>
        </is>
      </c>
      <c r="F31" s="3" t="inlineStr">
        <is>
          <t>من مسجد أصلم السلحدار</t>
        </is>
      </c>
      <c r="G31" s="3" t="inlineStr">
        <is>
          <t>Acquired from the mosque of Aslam al-Silahdar (745-46 AH / 1344-45 CE), this partially preserved panel features a narrow, edge-to-edge arrangement of bisected six-pointed stars and diamonds, a design characteristic of Mamluk decorative vocabulary. Small pieces of wood and ivory are further carved with delicate arabesques and vegetal scrolls, though much of the fine detail has been softened by the passage of time. The style and material of this panel closely correspond to other woodworked elements from the same site, suggesting they may have originated from a single workshop or craftsman. The narrow dimensions of the panel indicate it likely formed part of a window, book cabinet, chair, minbar base, or other modestly scaled object.</t>
        </is>
      </c>
      <c r="H31" s="3" t="inlineStr">
        <is>
          <t>اقتنى هذا الجزء الخشبى من مسجد أصلم السلحدار (٧٤٥-٧٤٦ هـ / ١٣٤٤-١٣٤٥ م)، ويعرض ترتيبا محكما يمتد من حافة إلى أخرى لنجوم سداسية مقسومة ومعينات، وهو تصميم يميز مفردات الزخرفة المملوكية. نحتت وحدات التطعيم من الخشب والعاج بزخارف أرابيسك وأغصان نباتية دقيقة، إلا أن كثيرا من تفاصيلها قد اندثرت بفعل مرور الزمن. ويتوافق أسلوب هذه القطعة وموادها بشكل وثيق مع عناصر خشبية أخرى من الموقع نفسه، مما يرجح أنها نفذت فى ورشة واحدة أو من يد حرفى واحد. كما تشير أبعاده الضيقة إلى أنه كان على الأرجح جزءا من نافذة، أو خزانة كتب، أو كرسى، أو قاعدة منبر، أو عنصر آخر صغير الحجم.</t>
        </is>
      </c>
      <c r="I31" s="3" t="inlineStr">
        <is>
          <t>Bahri Mamluk, 745-46 AH / 1344-45 CE</t>
        </is>
      </c>
      <c r="J31" s="3" t="inlineStr">
        <is>
          <t>مملوكى بحرى، ٧٤-٧٤٦ هـ / ١٣٤٤-١٣٤٥ م</t>
        </is>
      </c>
      <c r="K31" s="3" t="inlineStr">
        <is>
          <t>W: 100 cm; H: 21 cm</t>
        </is>
      </c>
      <c r="L31" s="3" t="inlineStr">
        <is>
          <t>العرض: ٢١ سم، الطول: ١٠٠ سم</t>
        </is>
      </c>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is>
          <t>https://mia.nadimfoundation.org/q3102</t>
        </is>
      </c>
      <c r="AT31" s="3">
        <f>IMAGE("https://api.qrserver.com/v1/create-qr-code/?size=300x300&amp;margin=8&amp;color=06444C&amp;bgcolor=EAE8D8&amp;data="&amp;ENCODEURL(AS31))</f>
        <v/>
      </c>
      <c r="AU31" s="3" t="inlineStr">
        <is>
          <t>Registered October 1903</t>
        </is>
      </c>
      <c r="AV31" s="3" t="inlineStr">
        <is>
          <t>سجل فى أكتوبر ١٩٠٣</t>
        </is>
      </c>
      <c r="AW31" s="3" t="inlineStr"/>
      <c r="AX31" s="3" t="inlineStr"/>
      <c r="AY31" s="3" t="inlineStr"/>
      <c r="AZ31" s="3" t="inlineStr">
        <is>
          <t>81</t>
        </is>
      </c>
    </row>
    <row r="32">
      <c r="A32" s="3" t="inlineStr">
        <is>
          <t>2801-4155</t>
        </is>
      </c>
      <c r="B32" s="3" t="inlineStr">
        <is>
          <t>Inv. no. 2801, 4155</t>
        </is>
      </c>
      <c r="C32" s="3" t="inlineStr">
        <is>
          <t>Cupboard Leaves</t>
        </is>
      </c>
      <c r="D32" s="3" t="inlineStr">
        <is>
          <t>ضلفتى خزانة</t>
        </is>
      </c>
      <c r="E32" s="3" t="inlineStr">
        <is>
          <t>From the madrasa of Sultan Hassan</t>
        </is>
      </c>
      <c r="F32" s="3" t="inlineStr">
        <is>
          <t>من مدرسة السلطان حسن</t>
        </is>
      </c>
      <c r="G32" s="3" t="inlineStr">
        <is>
          <t>This pair of narrow cabinet leaves was originally hung on pivots, as evidenced by the rounded and moulded upper terminals of the door stiles and the surviving metal pivot at the base; their slender proportions suggesting an interior cupboard rather than an exterior door. The leaves are constructed using interlocking joinery in the pattern known locally as kirindazi, wherein alternating elongated hexagons and triangles form the structural and decorative framework. The carving is largely uniform: hexagonal panels bear intersecting symmetrical arabesques, while triangular panels contain small bifurcated leaves within a simple scroll. The two panels at handle-height, positioned directly above where the original fittings would have been affixed, show the heaviest wear; that on the left departs entirely from the prevailing decorative scheme, its abraded surface revealing large scrolls terminating in trilobed fleurons, hinting at a more complex decorative history than the otherwise consistent surface treatment would suggest.</t>
        </is>
      </c>
      <c r="H32" s="3" t="inlineStr">
        <is>
          <t>كانت هاتان الضلفتان الضيقتان معلقتين فى الأصل على محاور، كما يتضح من الأطراف العلوية المستديرة والمزخرفة لأعمدة الباب والمحور المعدنى الباقى عند قاعدته؛ وتشير أبعادهما الرفيعة إلى أنهما جزء من خزانة داخلية وليس بابا خارجيا. ويرجح ضيق قياس الضلف هنا أن هذا الزوج قد صمم لكتبية أو خزانة داخلية لا لباب خارجى. وقد صنعتا باستخدام وصلات تعشيق متداخلة وفق التصميم المعروف محليا باسم «الكرندازى»، حيث تشكل الزخرفة مسدسات ممدودة ومثلثات متعاقبة تمثل الإطارين الإنشائى والزخرفى. وتحمل الحشوات السداسية زخارف أرابيسك متداخلة ومتماثلة من الحفر فى اتساق تام، بينما تحتوى الحشوات المثلثة على أوراق نباتية صغيرة مزدوجة الأطراف ذات توريقات ملتفة بسيطة. وتظهر آثار الاستخدام بوضوح على الحشوتين الموجودتين عند مستوى المقبض، حيث تختلف الحشوة اليسرى تماما عن الأسلوب الزخرفى السائد، ويكشف سطحها المتآكل عن لفائف كبيرة تنتهى بزهور زنبق ثلاثية الفصوص، مما يشير إلى تاريخ زخرفى أكثر تعقيدا مما يبدو على السطح المتسق للضلفتين. وقد كانت الضلف تتحرك محوريا كما هو واضح من النهايات المستديرة للقوائم من أعلى، والنهايات المعدنية من أسفل.</t>
        </is>
      </c>
      <c r="I32" s="3" t="inlineStr">
        <is>
          <t>Bahri Mamluk, 757-64 AH / 1356-63 CE</t>
        </is>
      </c>
      <c r="J32" s="3" t="inlineStr">
        <is>
          <t>مملوكى بحرى، ٧٥٧-٧٦٤ هـ / ١٣٥٦-١٣٦٣ م</t>
        </is>
      </c>
      <c r="K32" s="3" t="inlineStr">
        <is>
          <t>2801 – W: 31 cm; H: 235 cm
4155 – W: 30.3 cm; H: 235 cm</t>
        </is>
      </c>
      <c r="L32" s="3" t="inlineStr">
        <is>
          <t>٢٨٠١ - العرض: ٣١ سم، الارتفاع: ٢٣٥ سم
٤١٥٥ - العرض: ٣٠٫٣ سم، الارتفاع: ٢٣٥ سم</t>
        </is>
      </c>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is>
          <t>https://mia.nadimfoundation.org/q2801-4155</t>
        </is>
      </c>
      <c r="AT32" s="3">
        <f>IMAGE("https://api.qrserver.com/v1/create-qr-code/?size=300x300&amp;margin=8&amp;color=06444C&amp;bgcolor=EAE8D8&amp;data="&amp;ENCODEURL(AS32))</f>
        <v/>
      </c>
      <c r="AU32" s="3" t="inlineStr"/>
      <c r="AV32" s="3" t="inlineStr"/>
      <c r="AW32" s="3" t="inlineStr"/>
      <c r="AX32" s="3" t="inlineStr"/>
      <c r="AY32" s="3" t="inlineStr"/>
      <c r="AZ32" s="3" t="inlineStr">
        <is>
          <t>82</t>
        </is>
      </c>
    </row>
    <row r="33">
      <c r="A33" s="3" t="inlineStr">
        <is>
          <t>3511</t>
        </is>
      </c>
      <c r="B33" s="3" t="inlineStr">
        <is>
          <t>Inv. no. 3511</t>
        </is>
      </c>
      <c r="C33" s="3" t="inlineStr">
        <is>
          <t>Half of a Window Leaf</t>
        </is>
      </c>
      <c r="D33" s="3" t="inlineStr">
        <is>
          <t>نصف مصراع نافذة</t>
        </is>
      </c>
      <c r="E33" s="3" t="inlineStr">
        <is>
          <t>From the madrasa of Bashir Agha al- Jumdar</t>
        </is>
      </c>
      <c r="F33" s="3" t="inlineStr">
        <is>
          <t>من مدرسة بشير آغا الجمدار</t>
        </is>
      </c>
      <c r="G33" s="3" t="inlineStr">
        <is>
          <t>Half of a window leaf acquired from the madrasa of Bashir Agha al-Jumdar (760-61 AH / 1359-60 CE), a Mamluk amir and master of robes (jumdar) under Sultan Hassan (r. 755-62 AH / 1354-61 CE). Its central geometric design consists of six-pointed stars and hexagons, a widely employed combination in the artistic vocabulary of medieval Cairene woodwork from the Tulunid period onwards. Traces of simple carved decoration survive in some of the joinery pieces, and a surrounding border is carved in relief with vegetal scrolls. The panel forms part of a limited corpus of surviving architectural fittings from the now-ruined madrasa, which contemporary sources describe as having been a charming structure.</t>
        </is>
      </c>
      <c r="H33" s="3" t="inlineStr">
        <is>
          <t>نصف مصراع نافذة نقل من مدرسة بشير آغا الجمدار (٧٦٠-٧٦١ هـ / ١٣٥٩-١٣٦٠ م)، وهو أمير مملوكى وصاحب وظيفة (الجمدار) فى عهد السلطان حسن (حكم ٧٥٥-٧٦٢ هـ / ١٣٥٤-١٣٦١ م). يتكون تصميمها الهندسى المركزى من نجوم سداسية وسداسيات، وهى صيغة زخرفية شاع استخدامها فى المشغولات الخشبية القاهرية فى العصور الوسطى منذ العصر الطولونى فصاعدا. وتبقت آثار زخارف بسيطة منحوتة على بعض عناصر التعشيق، كما يحيط بها إطار محفور بزخارف نباتية بارزة. ويعد هذا المصراع جزءا من مجموعة محدودة من العناصر المعمارية الباقية من المدرسة، التى أصبحت اليوم فى عداد المبانى المندثرة، وقد وصفتها المصادر المعاصرة بأنها كانت بناء حسن الطابع.</t>
        </is>
      </c>
      <c r="I33" s="3" t="inlineStr">
        <is>
          <t>Bahri Mamluk, 760-61 AH / 1359-60 CE</t>
        </is>
      </c>
      <c r="J33" s="3" t="inlineStr">
        <is>
          <t>مملوكى بحرى، ٧٦٠-٧٦١ هـ / ١٣٥٩-١٣٦٠ م</t>
        </is>
      </c>
      <c r="K33" s="3" t="inlineStr">
        <is>
          <t>W: 37 cm; H: 64 cm</t>
        </is>
      </c>
      <c r="L33" s="3" t="inlineStr">
        <is>
          <t>العرض: ٣٧ سم، الطول: ٦٤ سم</t>
        </is>
      </c>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is>
          <t>https://mia.nadimfoundation.org/q3511</t>
        </is>
      </c>
      <c r="AT33" s="3">
        <f>IMAGE("https://api.qrserver.com/v1/create-qr-code/?size=300x300&amp;margin=8&amp;color=06444C&amp;bgcolor=EAE8D8&amp;data="&amp;ENCODEURL(AS33))</f>
        <v/>
      </c>
      <c r="AU33" s="3" t="inlineStr"/>
      <c r="AV33" s="3" t="inlineStr"/>
      <c r="AW33" s="3" t="inlineStr"/>
      <c r="AX33" s="3" t="inlineStr"/>
      <c r="AY33" s="3" t="inlineStr"/>
      <c r="AZ33" s="3" t="inlineStr">
        <is>
          <t>84</t>
        </is>
      </c>
    </row>
    <row r="34">
      <c r="A34" s="3" t="inlineStr">
        <is>
          <t>539</t>
        </is>
      </c>
      <c r="B34" s="3" t="inlineStr">
        <is>
          <t>Inv. no. 539</t>
        </is>
      </c>
      <c r="C34" s="3" t="inlineStr">
        <is>
          <t>Cabinet Front</t>
        </is>
      </c>
      <c r="D34" s="3" t="inlineStr">
        <is>
          <t>واجهة خزانة</t>
        </is>
      </c>
      <c r="E34" s="3" t="inlineStr"/>
      <c r="F34" s="3" t="inlineStr"/>
      <c r="G34" s="3" t="inlineStr">
        <is>
          <t>Cabinet front in a style characteristic of the Mamluk or Ottoman periods, decorated with a central geometric star pattern surmounted by a khawranq composed of a trio of openwork scalloped arches flanked by small colonettes. The upper arcade introduces an architectural note to the composition, while the storage compartment is fitted with an early hinge mechanism employing a simple loop wire, a practical and long-established solution in wooden furniture and fittings.</t>
        </is>
      </c>
      <c r="H34" s="3" t="inlineStr">
        <is>
          <t>واجهة خزانة ذات طراز يميز العصر المملوكى أو العثمانى، تتوسطها زخرفة من الأطباق النجمية الهندسية يعلوها خورنق يتكون من ثلاثة عقود مفرغة مفصصة تحف بها أعمدة صغيرة. يضفى هذا الصف العلوى من العقود طابعا معماريا واضحا على التكوين، بينما زودت حجرة التخزين بآلية مفصلة مبكرة تعتمد على سلك معدنى بسيط على هيئة حلقة وهو حل عملى شائع الاستخدام فى الأثاث والعناصر الخشبية منذ زمن طويل.</t>
        </is>
      </c>
      <c r="I34" s="3" t="inlineStr"/>
      <c r="J34" s="3" t="inlineStr"/>
      <c r="K34" s="3" t="inlineStr">
        <is>
          <t>W: 103 cm; H: 190 cm</t>
        </is>
      </c>
      <c r="L34" s="3" t="inlineStr">
        <is>
          <t>العرض: ١٠٣ سم، الطول: ١٩٠ سم</t>
        </is>
      </c>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is>
          <t>https://mia.nadimfoundation.org/q539</t>
        </is>
      </c>
      <c r="AT34" s="3">
        <f>IMAGE("https://api.qrserver.com/v1/create-qr-code/?size=300x300&amp;margin=8&amp;color=06444C&amp;bgcolor=EAE8D8&amp;data="&amp;ENCODEURL(AS34))</f>
        <v/>
      </c>
      <c r="AU34" s="3" t="inlineStr"/>
      <c r="AV34" s="3" t="inlineStr"/>
      <c r="AW34" s="3" t="inlineStr"/>
      <c r="AX34" s="3" t="inlineStr"/>
      <c r="AY34" s="3" t="inlineStr"/>
      <c r="AZ34" s="3" t="inlineStr">
        <is>
          <t>86</t>
        </is>
      </c>
    </row>
    <row r="35">
      <c r="A35" s="3" t="inlineStr">
        <is>
          <t>534</t>
        </is>
      </c>
      <c r="B35" s="3" t="inlineStr">
        <is>
          <t>Inv. no. 534</t>
        </is>
      </c>
      <c r="C35" s="3" t="inlineStr">
        <is>
          <t>Cabinet Front</t>
        </is>
      </c>
      <c r="D35" s="3" t="inlineStr">
        <is>
          <t>واجهة خزانة</t>
        </is>
      </c>
      <c r="E35" s="3" t="inlineStr"/>
      <c r="F35" s="3" t="inlineStr"/>
      <c r="G35" s="3" t="inlineStr">
        <is>
          <t>Cabinet front featuring a central radwani mafruka design, articulated around a hexagon with a pseudo-star pattern radiating towards the edges.This decorated panel conceals a storage compartment fitted with an early hinge mechanism employing a simple loop wire, a long-established and effective solution in wooden furniture. The panel is surmounted by a khawranq composed of a pair of open ogee arches with delicate floral bouquets painted across the spandrels. Traces of paint on the remaining surfaces indicate that the entire piece was once ornamented with simple floral motifs. The decorative vocabulary and construction techniques suggest a date in the late Mamluk or Ottoman periods.</t>
        </is>
      </c>
      <c r="H35" s="3" t="inlineStr">
        <is>
          <t>واجهة خزانة تتوسطها زخرفة المفروكة الرضوانى، تتشكل حول تصميم سداسى يحيط بتصميم نجمى كاذب تتفرع منه هيئة نجمية شبه كاملة تمتد نحو الأطراف. وتخفى هذه الحشوة المزخرفة خلفها مقصورة تخزين وتعتمد فى الفتح والغلق على آلية مفصلية مبكرة من خلال سلك حلقي بسي ط (شنكل)، وهى تقنية شائعة فى صناعة الأثاث الخشبى. كما يعلو التكوين الهندسى خورنق يتكون من عقدين مدببين مفرغين، مع باقات زهور رقيقة مرسومة على الركنيات، وتشير بقايا الألوان على الأسطح الأخرى إلى أن القطعة كانت فى الأصل مزخرفة بالكامل بزخارف نباتية بسيطة، وتشير المفردات الزخرفية وطريقة الصنع إلى تأريخ يعود إلى العصر المملوكى المتأخر أو العثمانى.</t>
        </is>
      </c>
      <c r="I35" s="3" t="inlineStr"/>
      <c r="J35" s="3" t="inlineStr"/>
      <c r="K35" s="3" t="inlineStr">
        <is>
          <t>W: 73 cm; H: 166 cm</t>
        </is>
      </c>
      <c r="L35" s="3" t="inlineStr">
        <is>
          <t>العرض: ٧٣ سم، الطول: ١٦٦ سم</t>
        </is>
      </c>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is>
          <t>https://mia.nadimfoundation.org/q534</t>
        </is>
      </c>
      <c r="AT35" s="3">
        <f>IMAGE("https://api.qrserver.com/v1/create-qr-code/?size=300x300&amp;margin=8&amp;color=06444C&amp;bgcolor=EAE8D8&amp;data="&amp;ENCODEURL(AS35))</f>
        <v/>
      </c>
      <c r="AU35" s="3" t="inlineStr"/>
      <c r="AV35" s="3" t="inlineStr"/>
      <c r="AW35" s="3" t="inlineStr"/>
      <c r="AX35" s="3" t="inlineStr"/>
      <c r="AY35" s="3" t="inlineStr"/>
      <c r="AZ35" s="3" t="inlineStr">
        <is>
          <t>88</t>
        </is>
      </c>
    </row>
    <row r="36">
      <c r="A36" s="3" t="inlineStr">
        <is>
          <t>485</t>
        </is>
      </c>
      <c r="B36" s="3" t="inlineStr">
        <is>
          <t>Inv. no. 485</t>
        </is>
      </c>
      <c r="C36" s="3" t="inlineStr">
        <is>
          <t>Door Leaf</t>
        </is>
      </c>
      <c r="D36" s="3" t="inlineStr">
        <is>
          <t>باب</t>
        </is>
      </c>
      <c r="E36" s="3" t="inlineStr"/>
      <c r="F36" s="3" t="inlineStr"/>
      <c r="G36" s="3" t="inlineStr">
        <is>
          <t>Door leaf with a central panel organised around a repeating field of hexagons bisected at their midpoints to generate a secondary grid of interlocking diamonds, in a pattern known locally as mosadas sarw. This geometric core is framed by a plain border and a further border of regular and elongated hexagons, with undecorated panels flanking the top and bottom of the leaf. Designs of this type enjoyed a long history in Cairo and are characteristic of both the Mamluk and Ottoman periods. Comparable doors can be found in Manzil Zaynab Khatun (872-73 AH / 1468 CE, with Ottoman additions in 1125 AH / 1713 CE) and Bayt al-Suhaymi (1057-58 and 1210-11 AH / 1648 and 1796 CE), making precise dating difficult in the absence of firm provenance.</t>
        </is>
      </c>
      <c r="H36" s="3" t="inlineStr">
        <is>
          <t>مصراع باب تتوسطه حشوة مركزية ذات تصميم هندسى قوامه تكرارات من الأشكال السداسية الأضلاع ويعرف محليا باسم «مسدس صرو». وقد قسمت كل من الحشوة المسدسة عند نقاط التقاء الأوتار لتكوين شبكة ثانوية من معينات متداخلة. يحيط بهذا التكوين الهندسى إطار بسيط خال من الزخرفة، يليه إطار آخر من سداسيات منتظمة وأخرى ممدودة، بينما تحيط بالجزء العلوى والسفلى من المصراع ألواح غير مزخرفة. وقد حظيت التصميمات من هذا النوع بتاريخ طويل فى القاهرة، وهى سمة مميزة لكل من العصرين المملوكى والعثمانى . كما توجد أبواب مشابهة فى منزل زينب خاتون (٨٧٢-٨٧٣ هـ / ١٤٦٨ م، مع إضافات عثمانية سنة ١١٢٥ هـ / ١٧١٣ م) وبيت السحيمى (١٠٥٧-١٠٥٨ هـ و١٢١٠-١٢١١ هـ / ١٦٤٨ و١٧٩٦ م)، وهو ما يجعل التأريخ الدقيق أمرا صعبا فى غياب مصدر موثوق يثبت الأصل.</t>
        </is>
      </c>
      <c r="I36" s="3" t="inlineStr"/>
      <c r="J36" s="3" t="inlineStr"/>
      <c r="K36" s="3" t="inlineStr">
        <is>
          <t>W: 105 cm; H: 203 cm</t>
        </is>
      </c>
      <c r="L36" s="3" t="inlineStr">
        <is>
          <t>العرض: ١٠٥ سم، الطول: ٢٠٣ سم</t>
        </is>
      </c>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is>
          <t>https://mia.nadimfoundation.org/q485</t>
        </is>
      </c>
      <c r="AT36" s="3">
        <f>IMAGE("https://api.qrserver.com/v1/create-qr-code/?size=300x300&amp;margin=8&amp;color=06444C&amp;bgcolor=EAE8D8&amp;data="&amp;ENCODEURL(AS36))</f>
        <v/>
      </c>
      <c r="AU36" s="3" t="inlineStr"/>
      <c r="AV36" s="3" t="inlineStr"/>
      <c r="AW36" s="3" t="inlineStr"/>
      <c r="AX36" s="3" t="inlineStr"/>
      <c r="AY36" s="3" t="inlineStr"/>
      <c r="AZ36" s="3" t="inlineStr">
        <is>
          <t>90</t>
        </is>
      </c>
    </row>
    <row r="37">
      <c r="A37" s="3" t="inlineStr">
        <is>
          <t>532</t>
        </is>
      </c>
      <c r="B37" s="3" t="inlineStr">
        <is>
          <t>Inv. no. 532</t>
        </is>
      </c>
      <c r="C37" s="3" t="inlineStr">
        <is>
          <t>Door Leaf</t>
        </is>
      </c>
      <c r="D37" s="3" t="inlineStr">
        <is>
          <t>مصراع باب</t>
        </is>
      </c>
      <c r="E37" s="3" t="inlineStr"/>
      <c r="F37" s="3" t="inlineStr"/>
      <c r="G37" s="3" t="inlineStr">
        <is>
          <t>Door leaf, typically Mamluk in style, featuring a sophisticated composition of twelve- and nine-pointed stars. The ornamentation remains relatively restrained, yet the creativity of the craftsman is revealed in the geometry itself: the complex task of combining stars of such differing point counts required careful calculation and the insertion of smaller polygonal shapes to resolve the intervening spaces, producing a harmonious and precise overall pattern.</t>
        </is>
      </c>
      <c r="H37" s="3" t="inlineStr">
        <is>
          <t>مصراع باب يحمل طابعا مملوكيا واضحا، ويتضمن تكوينا هندسيا متقنا يقوم على أطباق نجمية متداخلة من الاثنى عشرية وتساعية. وتظل الزخرفة فيه متحفظة نسبيا، غير أن ابتكار الحرفى يتجلى فى البناء الهندسى ذاته، إذ إن المهمة المعقدة المتمثلة فى الجمع بين نجوم تختلف فى عدد رؤوسها تطلبت حسابا دقيقا وإدخال مضلعات أصغر لمعالجة الفراغات البينية، بما أسفر عن نمط عام متناغم ومحكم.</t>
        </is>
      </c>
      <c r="I37" s="3" t="inlineStr"/>
      <c r="J37" s="3" t="inlineStr"/>
      <c r="K37" s="3" t="inlineStr">
        <is>
          <t>W: 83.7 cm; H: 163 cm</t>
        </is>
      </c>
      <c r="L37" s="3" t="inlineStr">
        <is>
          <t>العرض: ٨٣٫٧ سم، الطول: ١٦٣ سم</t>
        </is>
      </c>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is>
          <t>https://mia.nadimfoundation.org/q532</t>
        </is>
      </c>
      <c r="AT37" s="3">
        <f>IMAGE("https://api.qrserver.com/v1/create-qr-code/?size=300x300&amp;margin=8&amp;color=06444C&amp;bgcolor=EAE8D8&amp;data="&amp;ENCODEURL(AS37))</f>
        <v/>
      </c>
      <c r="AU37" s="3" t="inlineStr"/>
      <c r="AV37" s="3" t="inlineStr"/>
      <c r="AW37" s="3" t="inlineStr"/>
      <c r="AX37" s="3" t="inlineStr"/>
      <c r="AY37" s="3" t="inlineStr"/>
      <c r="AZ37" s="3" t="inlineStr">
        <is>
          <t>91</t>
        </is>
      </c>
    </row>
    <row r="38">
      <c r="A38" s="3" t="inlineStr">
        <is>
          <t>1048</t>
        </is>
      </c>
      <c r="B38" s="3" t="inlineStr">
        <is>
          <t>Inv. no. 1048</t>
        </is>
      </c>
      <c r="C38" s="3" t="inlineStr">
        <is>
          <t>Door Leaf</t>
        </is>
      </c>
      <c r="D38" s="3" t="inlineStr">
        <is>
          <t>باب</t>
        </is>
      </c>
      <c r="E38" s="3" t="inlineStr"/>
      <c r="F38" s="3" t="inlineStr"/>
      <c r="G38" s="3" t="inlineStr">
        <is>
          <t>Door leaf with a central panel composed of a repeating mafruka pattern, constructed through joinery. Closely related to the Greek hooked-cross meander, this pattern is characteristic of Cairene Ottoman woodwork, though it appears earlier in Mamluk contexts. The use of contrasting timbers enlivens the surface while drawing attention to the skill invested in a deceptively simple geometric design.</t>
        </is>
      </c>
      <c r="H38" s="3" t="inlineStr">
        <is>
          <t>مصراع باب يتوسطه تصميم مركزى مؤلف من نمط مفروكة متكرر، منفذ بأسلوب التعشيق. يرتبط هذا النمط ارتباطا وثيقا بزخرفة المتاهة الإغريقية ذات الصليب المعقوف، ويعد من السمات المميزة لأعمال النجارة العثمانية فى القاهرة، وإن كان قد ظهر فى سياقات مملوكية أقدم. ويضفى استخدام أخشاب متباينة اللون حيوية على السطح، كما يبرز مقدار المهارة المبذولة فى تنفيذ تصميم هندسى يبدو بسيطا فى ظاهره.</t>
        </is>
      </c>
      <c r="I38" s="3" t="inlineStr"/>
      <c r="J38" s="3" t="inlineStr"/>
      <c r="K38" s="3" t="inlineStr">
        <is>
          <t>W: 120 cm; H: 220 cm</t>
        </is>
      </c>
      <c r="L38" s="3" t="inlineStr">
        <is>
          <t>العرض: ١٢٠ سم، الطول: ٢٢٠ سم</t>
        </is>
      </c>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is>
          <t>https://mia.nadimfoundation.org/q1048</t>
        </is>
      </c>
      <c r="AT38" s="3">
        <f>IMAGE("https://api.qrserver.com/v1/create-qr-code/?size=300x300&amp;margin=8&amp;color=06444C&amp;bgcolor=EAE8D8&amp;data="&amp;ENCODEURL(AS38))</f>
        <v/>
      </c>
      <c r="AU38" s="3" t="inlineStr"/>
      <c r="AV38" s="3" t="inlineStr"/>
      <c r="AW38" s="3" t="inlineStr"/>
      <c r="AX38" s="3" t="inlineStr"/>
      <c r="AY38" s="3" t="inlineStr"/>
      <c r="AZ38" s="3" t="inlineStr">
        <is>
          <t>92</t>
        </is>
      </c>
    </row>
    <row r="39">
      <c r="A39" s="3" t="inlineStr">
        <is>
          <t>1617</t>
        </is>
      </c>
      <c r="B39" s="3" t="inlineStr">
        <is>
          <t>Inv. no. 1617</t>
        </is>
      </c>
      <c r="C39" s="3" t="inlineStr">
        <is>
          <t>Door Leaf</t>
        </is>
      </c>
      <c r="D39" s="3" t="inlineStr">
        <is>
          <t>باب</t>
        </is>
      </c>
      <c r="E39" s="3" t="inlineStr">
        <is>
          <t>From the mosque of al-Azhar</t>
        </is>
      </c>
      <c r="F39" s="3" t="inlineStr">
        <is>
          <t>من الجامع الأزهر</t>
        </is>
      </c>
      <c r="G39" s="3" t="inlineStr">
        <is>
          <t>Door leaf with a central panel ornamented with a joined geometric star pattern in carved wood and ivory. The slightly awkward fitting of the central panel within its surrounding frame indicates that it was likely reused in a new architectural context. The formal vocabulary and decorative treatment suggest a Mamluk date; and while the panel was added to al- Azhar during one of the mosque’s many restoration campaigns, it remains unclear whether it was originally made for the site and later refitted, or transferred from elsewhere before its incorporation.</t>
        </is>
      </c>
      <c r="H39" s="3" t="inlineStr">
        <is>
          <t>مصراع باب يتوسطه حشوة مركزية مزخرفة بتكوين نجمى هندسى، منفذ بتطعيم من الخشب والعاج، وقد زينت العديد من الحشوات الباقية بزخارف أرابيسك محفورة بدقة. ويشير عدم التناسب الطفيف فى تركيب الجزء المركزى داخل إطاره المحيط إلى أنه على الأرجح أعيد استخدامه ضمن سياق معمارى جديد. وتدل المفردات الشكلية والمعالجة الزخرفية على تأريخها للعصر المملوكى، ومع أن المصراع أضيف إلى الجامع الأزهر خلال إحدى حملات الترميم العديدة التى شهدها المسجد، فإنه لا يزال من غير الواضح ما إذا كان قد صنع أصلا للموقع ثم أعيد تثبيته لاحقا أم نقل إليه من موضع آخر قبل إدماجه فيه.</t>
        </is>
      </c>
      <c r="I39" s="3" t="inlineStr">
        <is>
          <t>Burji Mamluk, late 9th-early 10th centuries AH / late 15th-early 16th centuries CE</t>
        </is>
      </c>
      <c r="J39" s="3" t="inlineStr">
        <is>
          <t>مملوكى برجى، أواخر القرن التاسع - أوائل القرن العاشر الهجرى / أواخر القرن الخامس عشر - أوائل القرن السادس عشر الميلادى</t>
        </is>
      </c>
      <c r="K39" s="3" t="inlineStr">
        <is>
          <t>W: 68 cm; H: 237 cm</t>
        </is>
      </c>
      <c r="L39" s="3" t="inlineStr">
        <is>
          <t>العرض: ٦٨ سم، الطول: ٢٣٧ سم</t>
        </is>
      </c>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is>
          <t>https://mia.nadimfoundation.org/q1617</t>
        </is>
      </c>
      <c r="AT39" s="3">
        <f>IMAGE("https://api.qrserver.com/v1/create-qr-code/?size=300x300&amp;margin=8&amp;color=06444C&amp;bgcolor=EAE8D8&amp;data="&amp;ENCODEURL(AS39))</f>
        <v/>
      </c>
      <c r="AU39" s="3" t="inlineStr"/>
      <c r="AV39" s="3" t="inlineStr"/>
      <c r="AW39" s="3" t="inlineStr"/>
      <c r="AX39" s="3" t="inlineStr"/>
      <c r="AY39" s="3" t="inlineStr"/>
      <c r="AZ39" s="3" t="inlineStr">
        <is>
          <t>94</t>
        </is>
      </c>
    </row>
    <row r="40">
      <c r="A40" s="3" t="inlineStr">
        <is>
          <t>5977</t>
        </is>
      </c>
      <c r="B40" s="3" t="inlineStr">
        <is>
          <t>Inv. no. 5977</t>
        </is>
      </c>
      <c r="C40" s="3" t="inlineStr">
        <is>
          <t>Door Leaf</t>
        </is>
      </c>
      <c r="D40" s="3" t="inlineStr">
        <is>
          <t>مصراع باب</t>
        </is>
      </c>
      <c r="E40" s="3" t="inlineStr"/>
      <c r="F40" s="3" t="inlineStr"/>
      <c r="G40" s="3" t="inlineStr">
        <is>
          <t>Door leaf combining Mamluk and Khedival neo- Mamluk elements. The central panel, likely of Mamluk origin, is distinguished by its refined craftsmanship and decorative vocabulary. It was later repurposed and set into a Khedival-era frame, as indicated by the uneven joinery connecting the two elements. The overall configuration of the panel bears resemblance to the woodwork of the al-Rifa‘i mosque (1912), while the flanking narrow rectangular panels are decorated with reciprocal arches and vegetal scrolls reminiscent of the design on the uppermost panel of the reverse of Sayyida Ruqayya’s portable mihrab (549-555 AH / 1154-60 CE). The craftsman carefully integrated motifs, compositional strategies, and salvaged elements from earlier works into a single composition, producing a piece appropriate to the taste of its donor, Prince Youssef Kamal.</t>
        </is>
      </c>
      <c r="H40" s="3" t="inlineStr">
        <is>
          <t>مصراع باب يجمع بين العناصر الزخرفية المملوكية وأخرى خديوية على الطراز النيو-مملوك. ويتميز التصميم المركزى، الذى يرجح أنه يعود إلى العصر المملوكى، بدقة صنعته ومفرداته الزخرفية. وقد أعيد توظيفه لاحقا وأدرج داخل إطار يعود إلى العصر الخديوى، وهو ما يظهر فى عدم انتظام التعشيق بين العنصرين، التى تشبه الهيئة العامة للأعمال الخشبية فى مسجد الرفاعى (١٩١٢م)، بينما زخرفت الألواح المستطيلة الضيقة على الجانبين بعقود متقابلة وأغصان نباتية تذكر بالتصميم الموجود على الجزء العلوى فى ظهر محراب السيدة رقية المتنقل (٥٤٩-٥٥٥ هـ / ١١٥٤-١١٦٠ م). وقد دمج الحرفى بعناية بين الزخارف وأساليب التكوين والعناصر المستوحاة من أعمال أقدم فى تكوين واحد، لينتج قطعة تلائم ذوق مهديها، الأمير يوسف كمال.</t>
        </is>
      </c>
      <c r="I40" s="3" t="inlineStr"/>
      <c r="J40" s="3" t="inlineStr"/>
      <c r="K40" s="3" t="inlineStr">
        <is>
          <t>W: 110 cm; H: 248 cm</t>
        </is>
      </c>
      <c r="L40" s="3" t="inlineStr">
        <is>
          <t>العرض: ١١٠ سم، الطول: ٢٤٨ سم</t>
        </is>
      </c>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is>
          <t>https://mia.nadimfoundation.org/q5977</t>
        </is>
      </c>
      <c r="AT40" s="3">
        <f>IMAGE("https://api.qrserver.com/v1/create-qr-code/?size=300x300&amp;margin=8&amp;color=06444C&amp;bgcolor=EAE8D8&amp;data="&amp;ENCODEURL(AS40))</f>
        <v/>
      </c>
      <c r="AU40" s="3" t="inlineStr">
        <is>
          <t>Registered February 23, 1922</t>
        </is>
      </c>
      <c r="AV40" s="3" t="inlineStr">
        <is>
          <t>سجل فى ٢٣ فبراير ١٩٢٢</t>
        </is>
      </c>
      <c r="AW40" s="3" t="inlineStr">
        <is>
          <t>Donated by Prince Youssef Kamal</t>
        </is>
      </c>
      <c r="AX40" s="3" t="inlineStr">
        <is>
          <t>إهداء من الأمير يوسف كمال</t>
        </is>
      </c>
      <c r="AY40" s="3" t="inlineStr"/>
      <c r="AZ40" s="3" t="inlineStr">
        <is>
          <t>95</t>
        </is>
      </c>
    </row>
    <row r="41">
      <c r="A41" s="3" t="inlineStr">
        <is>
          <t>445</t>
        </is>
      </c>
      <c r="B41" s="3" t="inlineStr">
        <is>
          <t>Inv. no. 445</t>
        </is>
      </c>
      <c r="C41" s="3" t="inlineStr">
        <is>
          <t>Door</t>
        </is>
      </c>
      <c r="D41" s="3" t="inlineStr">
        <is>
          <t>باب</t>
        </is>
      </c>
      <c r="E41" s="3" t="inlineStr">
        <is>
          <t>From the mosque of al-Ashraf Barsbay (“al- Ashrafiyya”)</t>
        </is>
      </c>
      <c r="F41" s="3" t="inlineStr">
        <is>
          <t>من مسجد الأشرف برسباى (الأشرفية)</t>
        </is>
      </c>
      <c r="G41" s="3" t="inlineStr">
        <is>
          <t>A pair of door leaves from the mosque of Sultan al-Ashraf Barsbay (“al-Ashrafiyya”) on al-Mu‘izz Street, constructed through interlocking joinery and decorated with geometric star pattern enlivened with arabesques in a typically Mamluk style. Although many of the original wood and ivory inlays have been lost or replaced, the sophistication of the original composition remains evident. The upper and lower panels, now missing, likely once bore inscriptions or additional ornament framed by delicate metal fixtures, such as those surviving on the upper left panel, cast in the form of intertwining leaves or branches. The scale, proportion, and decorative vocabulary of the leaves align closely with other wooden furnishings associated with Barsbay’s patronage, suggesting they may have served as a doorway or the leaves of a large cupboard.</t>
        </is>
      </c>
      <c r="H41" s="3" t="inlineStr">
        <is>
          <t>مصراعا باب من مسجد السلطان الأشرف برسباى «الأشرفية» بشارع المعز، يزدانان بتكوينات نجمية هندسية جمعية أثريت بزخارف أرابيسك نفذت بأساليب الحفر والتطعيم والتعشيق على نحو يميز الأسلوب المملوكى. ورغم فقدان عدد كبير من عناصر التطعيم الأصلية من الخشب والعاج أو استبدالها، فإن رقى التكوين الأصلى لا يزال واضحا. أما الألواح العلوية والسفلية المفقودة حاليا، فمن المرجح أنها كانت تحمل نقوشا كتابية أو زخارف إضافية ذات إطار معدنى دقيق، مثل تلك الباقية على اللوح العلوى الأيسر، المصبوبة فى هيئة أوراق شجر أو أغصان متشابكة. وتتوافق أبعاد المصراعين ونسبهما وتكويناتهما الزخرفية توافقا وثيقا مع التجهيزات الخشبية الأخرى التى ارتبطت برعاية برسباى، مما يرجح أنهما كانا يؤديان وظيفة باب مدخل أو باب منبر أو مصراعى خزانة كبيرة.</t>
        </is>
      </c>
      <c r="I41" s="3" t="inlineStr">
        <is>
          <t>Burji Mamluk, 826-27 AH / 1423-24 CE</t>
        </is>
      </c>
      <c r="J41" s="3" t="inlineStr">
        <is>
          <t>مملوكى برجى، ٨٢٦-٨٢٧ هـ / ١٤٢٣-١٤٢٤ م</t>
        </is>
      </c>
      <c r="K41" s="3" t="inlineStr">
        <is>
          <t>W: 105 cm; H: 198 cm</t>
        </is>
      </c>
      <c r="L41" s="3" t="inlineStr">
        <is>
          <t>العرض: ١٠٥ سم، الطول: ١٩٨ سم</t>
        </is>
      </c>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is>
          <t>https://mia.nadimfoundation.org/q445</t>
        </is>
      </c>
      <c r="AT41" s="3">
        <f>IMAGE("https://api.qrserver.com/v1/create-qr-code/?size=300x300&amp;margin=8&amp;color=06444C&amp;bgcolor=EAE8D8&amp;data="&amp;ENCODEURL(AS41))</f>
        <v/>
      </c>
      <c r="AU41" s="3" t="inlineStr"/>
      <c r="AV41" s="3" t="inlineStr"/>
      <c r="AW41" s="3" t="inlineStr"/>
      <c r="AX41" s="3" t="inlineStr"/>
      <c r="AY41" s="3" t="inlineStr"/>
      <c r="AZ41" s="3" t="inlineStr">
        <is>
          <t>96</t>
        </is>
      </c>
    </row>
    <row r="42">
      <c r="A42" s="3" t="inlineStr">
        <is>
          <t>2605</t>
        </is>
      </c>
      <c r="B42" s="3" t="inlineStr">
        <is>
          <t>Inv. no. 2605</t>
        </is>
      </c>
      <c r="C42" s="3" t="inlineStr">
        <is>
          <t>Door</t>
        </is>
      </c>
      <c r="D42" s="3" t="inlineStr">
        <is>
          <t>باب</t>
        </is>
      </c>
      <c r="E42" s="3" t="inlineStr">
        <is>
          <t>From the mosque of Aytmish al-Bagasi</t>
        </is>
      </c>
      <c r="F42" s="3" t="inlineStr">
        <is>
          <t>من مسجد أيتمش البجاسى</t>
        </is>
      </c>
      <c r="G42" s="3" t="inlineStr">
        <is>
          <t>Door leaves recovered from the mosque of Amir Aytmish al-Bagasi (784-85 AH / 1383 CE), decorated with a prominent geometric star pattern based on twelve-pointed stars with wood and ivory joinery pieces. The door represents a rare surviving example of the mosque’s original wooden fittings; the interior is relatively plain at present, with many doors, windows, and the minbar replaced by simpler modern substitutes. Traces of painted decoration on the ceiling of the eastern (qibla) iwan hint at the mosque’s former richness, diminished both by disruptions following Amir Aytmish’s death — after a career that saw him serve as amir under Sultan Barquq, then as regent for Barquq’s son Farag, before fleeing to Damascus and ultimately being killed by Yalbugha al-Nasiri — as well as through later flooding and the natural ravages of time.</t>
        </is>
      </c>
      <c r="H42" s="3" t="inlineStr">
        <is>
          <t>مصراعا باب نقلا من مسجد الأمير أيتمش البجاسى (٧٨٤-٧٨٥ هـ / ١٣٨٣ م)، مزخرفان بتكوين هندسى مميز قائم على الطبق النجمى الاثنى عشرى، وطعمت الحشوات بالخشب والعاج. ويمثل الباب نموذجا نادرا باقيا من الأعمال الخشبية الأصلية للمسجد، إذ يبدو تصميمه الداخلى اليوم بسيطا، بعد أن استبدلت كثير من الأبواب والنوافذ والمنبر الأصلية ببدائل حديثة أكثر تواضعا. وتوحى بقايا الزخرفة المصبوغة على سقف الإيوان الشرقى (إيوان القبلة) بما كان عليه المسجد من ثراء سابق، فقد ضاع جانب كبير من هذا الثراء عقب وفاة أيتمش، بعد مسيرة شهدت توليه منصب أمير فى عهد السلطان برقوق، ثم وصايته على الناصر فرج بن برقوق، قبل أن يفر إلى دمشق وينتهى مقتولا على يد يلبغا الناصرى - فضلا عما لحق بالمبنى لاحقا من أضرار بسبب الفيضانات وعوامل الزمن.</t>
        </is>
      </c>
      <c r="I42" s="3" t="inlineStr">
        <is>
          <t>Burji Mamluk, 784-85 AH / 1383 CE</t>
        </is>
      </c>
      <c r="J42" s="3" t="inlineStr">
        <is>
          <t>مملوكى برجى، ٧٨٤-٧٨٥ هـ / ١٣٨٣ م</t>
        </is>
      </c>
      <c r="K42" s="3" t="inlineStr">
        <is>
          <t>W: 100 cm; H: 196 cm</t>
        </is>
      </c>
      <c r="L42" s="3" t="inlineStr">
        <is>
          <t>العرض: ١٠٠ سم، الطول: ١٩٦ سم</t>
        </is>
      </c>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is>
          <t>https://mia.nadimfoundation.org/q2605</t>
        </is>
      </c>
      <c r="AT42" s="3">
        <f>IMAGE("https://api.qrserver.com/v1/create-qr-code/?size=300x300&amp;margin=8&amp;color=06444C&amp;bgcolor=EAE8D8&amp;data="&amp;ENCODEURL(AS42))</f>
        <v/>
      </c>
      <c r="AU42" s="3" t="inlineStr"/>
      <c r="AV42" s="3" t="inlineStr"/>
      <c r="AW42" s="3" t="inlineStr"/>
      <c r="AX42" s="3" t="inlineStr"/>
      <c r="AY42" s="3" t="inlineStr"/>
      <c r="AZ42" s="3" t="inlineStr">
        <is>
          <t>98</t>
        </is>
      </c>
    </row>
    <row r="43">
      <c r="A43" s="3" t="inlineStr">
        <is>
          <t>11724</t>
        </is>
      </c>
      <c r="B43" s="3" t="inlineStr">
        <is>
          <t>Inv. no. 11724</t>
        </is>
      </c>
      <c r="C43" s="3" t="inlineStr">
        <is>
          <t>Panel</t>
        </is>
      </c>
      <c r="D43" s="3" t="inlineStr">
        <is>
          <t>تربيعة</t>
        </is>
      </c>
      <c r="E43" s="3" t="inlineStr"/>
      <c r="F43" s="3" t="inlineStr"/>
      <c r="G43" s="3" t="inlineStr">
        <is>
          <t>A square wooden panel featuring an intricate strapwork pattern of six-pointed stars, hexagons, and smaller irregular polygons executed through interlocking joinery with wood and ivory pieces. The central six-pointed star and six surrounding hexagons are all composed of kaleidoscopic zarnashan patterns of coloured woods, (stained) ivory, and mother-of-pearl. The reverse of the panel reveals the dense and careful joinery required to achieve the complex surface geometry. Likely dated to the Mamluk period, the panel appears to have been a highly accomplished component of a larger furnishing such as a cupboard or chair, later removed from its original context and appreciated as an independent artwork. A modern metal fixture on the reverse, used for hanging, indicates its subsequent display as an objet d’art during the ownership of Prince Kamal al-Din Hussein (1874-1932).</t>
        </is>
      </c>
      <c r="H43" s="3" t="inlineStr">
        <is>
          <t>وحدة خشبية مربعة تتضمن تكوينا نجميا معقدا قائما على نظام الأباريز والحشوات، ومؤلفا من نجوم سداسية وسداسيات ومضلعات أصغر غير منتظمة، نفذ بأسلوب التعشيق بحشوات مطعمة فى الغالب بالخشب والعاج. وقد طعمت النجمة السداسية المركزية والسداسيات الست المحيطة بها جميعا بتكوينات من الزرنشان متعدد الانعكاسات، التى تتألف من أخشاب ملونة وعاج مصبوغ وصدف. ويكشف ظهر هذه القطعة عن شبكة التعشيق الكثيفة والدقيقة اللازمة لتحقيق هذا التكوين الهندسى المعقد.
يرجح تأريخ هذه القطعة إلى العصر المملوكى، ويبدو أنها كانت عنصرا متقن الصنع ضمن قطعة أثاث أكبر -مثل خزانة أو كرسى- قبل أن تفصل عن سياقها الأصلى وتقتنى بوصفها عملا مستقلا. وتشير قطعة معدنية حديثة مثبتة فى الخلف مخصصة للتعليق، إلى أنه تم عرضه لاحقا كقطعة فنية عندما كانت فى حيازة الأمير كمال الدين حسين (١٨٧٤-١٩٣٢).</t>
        </is>
      </c>
      <c r="I43" s="3" t="inlineStr"/>
      <c r="J43" s="3" t="inlineStr"/>
      <c r="K43" s="3" t="inlineStr">
        <is>
          <t>W: 58 cm; H: 58 cm</t>
        </is>
      </c>
      <c r="L43" s="3" t="inlineStr">
        <is>
          <t>العرض: ٥٨ سم، الطول: ٥٨ سم</t>
        </is>
      </c>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is>
          <t>https://mia.nadimfoundation.org/q11724</t>
        </is>
      </c>
      <c r="AT43" s="3">
        <f>IMAGE("https://api.qrserver.com/v1/create-qr-code/?size=300x300&amp;margin=8&amp;color=06444C&amp;bgcolor=EAE8D8&amp;data="&amp;ENCODEURL(AS43))</f>
        <v/>
      </c>
      <c r="AU43" s="3" t="inlineStr">
        <is>
          <t>Registered August 15, 1933</t>
        </is>
      </c>
      <c r="AV43" s="3" t="inlineStr">
        <is>
          <t>سجل فى ١٥ أغسطس ١٩٣٣</t>
        </is>
      </c>
      <c r="AW43" s="3" t="inlineStr">
        <is>
          <t>Gifted by the waqf (endowment) of Prince Kamal al-Din Hussein</t>
        </is>
      </c>
      <c r="AX43" s="3" t="inlineStr">
        <is>
          <t>مهدى من وقف الأمير كمال الدين حسين</t>
        </is>
      </c>
      <c r="AY43" s="3" t="inlineStr"/>
      <c r="AZ43" s="3" t="inlineStr">
        <is>
          <t>100</t>
        </is>
      </c>
    </row>
    <row r="44">
      <c r="A44" s="3" t="inlineStr">
        <is>
          <t>11718</t>
        </is>
      </c>
      <c r="B44" s="3" t="inlineStr">
        <is>
          <t>Inv. no. 11718</t>
        </is>
      </c>
      <c r="C44" s="3" t="inlineStr">
        <is>
          <t>Door Leaf</t>
        </is>
      </c>
      <c r="D44" s="3" t="inlineStr">
        <is>
          <t>مصراع باب</t>
        </is>
      </c>
      <c r="E44" s="3" t="inlineStr"/>
      <c r="F44" s="3" t="inlineStr"/>
      <c r="G44" s="3" t="inlineStr">
        <is>
          <t>This atypical, patchwork-like panel is structured around a repeating field of elongated hexagons which likely once formed part of a kirindazi composition incorporating triangles. The upper and lower fields, by contrast, introduce more irregular and at times asymmetrical groupings of polygons, disrupting the visual continuity of the design. These inconsistencies, together with the awkward relationship between the joinery pieces and their surrounding frame, strongly suggest that the panel was reassembled from an earlier object. On the basis of the design and the relatively good condition of the surviving pieces, the reused elements may be tentatively dated to the late Mamluk or early Ottoman periods.</t>
        </is>
      </c>
      <c r="H44" s="3" t="inlineStr">
        <is>
          <t>يميز هذا التكوين حشوات غير تقليدية إطلاقا، ذات تصميم يحاكى أسلوب الترقيع يهدف إلى ضم عدة أشكال هندسية غير مترابطة وغير منتمية إلى نفس الشكل الهندسى التقليدى لتزين الباب. فعلى الرغم من أن أجزاء الحشوة جمعت بتقنية الجمعية المتعارف عليها إلا أنها تفتقر إلى منطق هذا الأسلوب فى الزخرفة. فيرجح أن التصميم الذى ضم يوما هذه الحشوات من المسدسات والمثلثات ينتمى إلى نمط الكرندازى. وفى أغلب الظن، تمت إعادة توظيف هذه القطع الخشبية من وحدات الكرندازى الزخرفية من تصميم قديم، ثم ثبتت لاحقا فى تشكيلها الحالى بالباب. أما المساحات العلوية والسفلية، فعلى العكس من ذلك، تقدم تصميمات ذات تجميعات أكثر عشوائية وأحيانا غير متناظرة للأشكال متعددة الأضلاع، مما يقطع الاستمرارية البصرية للتصميم. إن هذه التناقضات، إلى جانب العلاقة غير المتجانسة بين الحشوات المعشقة والباب نفسه، تشير بقوة إلى أن الحشوات قد أعيد تجميعها من قطعة أو قطع مختلفة أقدم منها. واستنادا إلى التصميم والحالة الجيدة نسبيا للعناصر الباقية، يمكن تأريخ القطع المعاد استخدامها، على نحو مبدئى، إلى أواخر العصر المملوكى أو بدايات العصر العثمانى.</t>
        </is>
      </c>
      <c r="I44" s="3" t="inlineStr"/>
      <c r="J44" s="3" t="inlineStr"/>
      <c r="K44" s="3" t="inlineStr">
        <is>
          <t>W: 90 cm; H: 190 cm</t>
        </is>
      </c>
      <c r="L44" s="3" t="inlineStr">
        <is>
          <t>العرض: ٩٠ سم، الطول: ١٩٠ سم</t>
        </is>
      </c>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is>
          <t>https://mia.nadimfoundation.org/q11718</t>
        </is>
      </c>
      <c r="AT44" s="3">
        <f>IMAGE("https://api.qrserver.com/v1/create-qr-code/?size=300x300&amp;margin=8&amp;color=06444C&amp;bgcolor=EAE8D8&amp;data="&amp;ENCODEURL(AS44))</f>
        <v/>
      </c>
      <c r="AU44" s="3" t="inlineStr">
        <is>
          <t>Registered August 15, 1933</t>
        </is>
      </c>
      <c r="AV44" s="3" t="inlineStr">
        <is>
          <t>سجل فى ١٥ أغسطس ١٩٣٣</t>
        </is>
      </c>
      <c r="AW44" s="3" t="inlineStr"/>
      <c r="AX44" s="3" t="inlineStr"/>
      <c r="AY44" s="3" t="inlineStr"/>
      <c r="AZ44" s="3" t="inlineStr">
        <is>
          <t>101</t>
        </is>
      </c>
    </row>
    <row r="45">
      <c r="A45" s="3" t="inlineStr">
        <is>
          <t>11721</t>
        </is>
      </c>
      <c r="B45" s="3" t="inlineStr">
        <is>
          <t>Inv. no. 11721</t>
        </is>
      </c>
      <c r="C45" s="3" t="inlineStr">
        <is>
          <t>Panel</t>
        </is>
      </c>
      <c r="D45" s="3" t="inlineStr">
        <is>
          <t>لوحة</t>
        </is>
      </c>
      <c r="E45" s="3" t="inlineStr"/>
      <c r="F45" s="3" t="inlineStr"/>
      <c r="G45" s="3" t="inlineStr">
        <is>
          <t>This unusual assemblage of six hexagonal panels arranged around a central hexagon evokes the geometry of a more complete star pattern. The marked contrast between the richly inlaid and carved wood and ivory, and the plain, modern backing suggests that these elements were salvaged from an earlier object and reassembled in their current form. Closer examination of the individual panels, each densely carved in relief with classical arabesques, raises a compelling possibility: the pieces display striking, and indeed nearly identical, correspondences with those of the celebrated minbar of Amir Baktimur (698-99 AH / 1299-1300 CE) in the mosque of al-Salih Tala’i (555 AH / 1160 CE). Having likely been removed, reconfigured, and adapted over the centuries, the panels entered the collection of the Museum of Islamic Art via the waqf (endowment) of Prince Kamal al-Din Hussein (1874-1932), offering a tangible record of both their original Mamluk context and subsequent reuse.
Minbar of Amir Baktimur in the mosque of al-Salih Tala’i the mosque of al-Salih Tala’i (555 AH / 1160 CE, with the minbar added in 698-99 AH / 1299-1300 CE).</t>
        </is>
      </c>
      <c r="H45" s="3" t="inlineStr">
        <is>
          <t>هذا التكوين غير التقليدى المؤلف من ست حشوات من الكند سداسية الشكل تلتف حول حشوة سداسية الأضلاع مركزية، يستحضر فى صياغته هيئة تكوين الطبق النجمى المكتمل. ويشير التباين الواضح بين الخشب والعاج المطعمين والمنحوتين بزخارف غنية من جهة، وبين الدعامة الخلفية الحديثة البسيطة من جهة أخرى، إلى أن هذه العناصر قد استخرجت من قطعة أثرية أقدم وأعيد تجميعها فى هيئتها الحالية. وبالفحص الدقيق لهذه الحشوات المنفردة، التى تزدان كل منها بتصاميم من حفر بارز بزخارف أرابيسك تقليدية كثيفة، تبرز فرضية قوية؛ إذ تظهر الحشوات تطابقا واضحا، بل وشبه تام، مع حشوات منبر الأمير بكتمر (٦٩٨-٦٩٩ هـ / ١٢٩٩-١٣٠٠ م) فى مسجد الصالح طلائع (٥٥٥ هـ / ١١٦٠ م). وبعد فك هذه الألواح وإعادة تشكيلها وتطويعها على مر القرون، انضمت إلى مقتنيات متحف الفن الإسلامى عبر وقف الأمير كمال الدين حسين (١٨٧٤-١٩٣٢ م)، لتقدم بذلك سجلا ملموسا لسياقها المملوكى الأصلى وتاريخ إعادة استخدامها اللاحق.
(تأسس المسجد عام ٥٥٥ هـ / ١١٦٠ م، وأضيف المنبر عام ٦٩٨-٦٩٩ هـ / ١٢٩٩-١٣٠٠ م)</t>
        </is>
      </c>
      <c r="I45" s="3" t="inlineStr"/>
      <c r="J45" s="3" t="inlineStr"/>
      <c r="K45" s="3" t="inlineStr">
        <is>
          <t>W: 50 cm; H: 46 cm</t>
        </is>
      </c>
      <c r="L45" s="3" t="inlineStr">
        <is>
          <t>العرض: ٥٠ سم، الطول: ٤٦ سم</t>
        </is>
      </c>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is>
          <t>https://mia.nadimfoundation.org/q11721</t>
        </is>
      </c>
      <c r="AT45" s="3">
        <f>IMAGE("https://api.qrserver.com/v1/create-qr-code/?size=300x300&amp;margin=8&amp;color=06444C&amp;bgcolor=EAE8D8&amp;data="&amp;ENCODEURL(AS45))</f>
        <v/>
      </c>
      <c r="AU45" s="3" t="inlineStr">
        <is>
          <t>Registered August 15, 1933</t>
        </is>
      </c>
      <c r="AV45" s="3" t="inlineStr">
        <is>
          <t>سجل فى ١٥ أغسطس ١٩٣٣</t>
        </is>
      </c>
      <c r="AW45" s="3" t="inlineStr">
        <is>
          <t>Gifted by the waqf (endowment) of Prince Kamal al-Din Hussein</t>
        </is>
      </c>
      <c r="AX45" s="3" t="inlineStr">
        <is>
          <t>مهدى من وقف الأمير كمال الدين حسين</t>
        </is>
      </c>
      <c r="AY45" s="3" t="inlineStr"/>
      <c r="AZ45" s="3" t="inlineStr">
        <is>
          <t>102</t>
        </is>
      </c>
    </row>
    <row r="46">
      <c r="A46" s="3" t="inlineStr">
        <is>
          <t>9526</t>
        </is>
      </c>
      <c r="B46" s="3" t="inlineStr">
        <is>
          <t>Inv. no. 9526</t>
        </is>
      </c>
      <c r="C46" s="3" t="inlineStr">
        <is>
          <t>Stele</t>
        </is>
      </c>
      <c r="D46" s="3" t="inlineStr">
        <is>
          <t>شاهد جنائزى</t>
        </is>
      </c>
      <c r="E46" s="3" t="inlineStr"/>
      <c r="F46" s="3" t="inlineStr"/>
      <c r="G46" s="3" t="inlineStr">
        <is>
          <t>This wooden funerary stela commemorates a figure named Ahmad ibn ‘Abdallah and bears a Kufic inscription invoking God’s protection from calamity and asking for mercy and forgiveness for the deceased. The multi-register script shows notable, though not exact, affinities with another wooden panel in the Museum’s collection (Inv. No. 3914) linked to Abu Muhammad ‘Abd Allah al-Tabataba (d. 338 AH / 949 CE) and recovered from the Ikhshidid mausoleum of al-Tabataba in ‘Ayn al-Sira.</t>
        </is>
      </c>
      <c r="H46" s="3" t="inlineStr">
        <is>
          <t>يخلد هذا الشاهد الجنائزى الخشبى ذكر شخص يدعى أحمد بن عبد للها. ويحمل نقش كتابيا محفورا بالخط الكوفى يتضمن عبارات دعاء بالاعتصام بالله من البلاء، وطلب الرحمة والمغفرة للمتوفى. ويظهر توزيع النص على عدة أسطر تقاربا ملحوظا، وإن لم يكن مطابقا تماما، مع لوحة خشبية أخرى محفوظة فى مجموعة المتحف برقم تسجيل ٣٩١٤، منسوبة إلى أبى محمد عبد للها الطباطبا توفى ٣٣٨ هـ / ٩٤٩ م، والتى استخرجت من ضريح الإخشيديين الخاص بالطباطبا فى عين الصيرة. بسم للها الرحمن الرحيم هذا من فضل ربى ليبلونى اشكر ام اكفر ومن شكر فانما يشكر لنفسه ومن كفر فان ربى غنى كريم نعمه من للها ان ذات الحانوت بجميع حدودها وحقوقها سفلها وعلوها لعبدللها عمر بن</t>
        </is>
      </c>
      <c r="I46" s="3" t="inlineStr">
        <is>
          <t>possibly Tulunid or Ikhshidid, c. 3rd-4th centuries AH / 9th-10th centuries CE</t>
        </is>
      </c>
      <c r="J46" s="3" t="inlineStr">
        <is>
          <t>يحتمل أن يرجع للعصر الطولونى أو الإخشيدى، حوالى القرن الثالث - القرن الرابع الهجرى / القرن التاسع - القرن العاشر الميلادى</t>
        </is>
      </c>
      <c r="K46" s="3" t="inlineStr">
        <is>
          <t>W: 22.5 cm; H: 51 cm</t>
        </is>
      </c>
      <c r="L46" s="3" t="inlineStr">
        <is>
          <t>العرض: ٢٢٫٥ سم، الطول: ٥١ سم</t>
        </is>
      </c>
      <c r="M46" s="3" t="inlineStr"/>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is>
          <t>https://mia.nadimfoundation.org/q9526</t>
        </is>
      </c>
      <c r="AT46" s="3">
        <f>IMAGE("https://api.qrserver.com/v1/create-qr-code/?size=300x300&amp;margin=8&amp;color=06444C&amp;bgcolor=EAE8D8&amp;data="&amp;ENCODEURL(AS46))</f>
        <v/>
      </c>
      <c r="AU46" s="3" t="inlineStr">
        <is>
          <t>Registered February 12, 1931</t>
        </is>
      </c>
      <c r="AV46" s="3" t="inlineStr">
        <is>
          <t>سجل فى ١٢ فبراير ١٩٣١</t>
        </is>
      </c>
      <c r="AW46" s="3" t="inlineStr">
        <is>
          <t>Purchased from Michel Abemayor</t>
        </is>
      </c>
      <c r="AX46" s="3" t="inlineStr">
        <is>
          <t>مشترى من ميشيل أبمايور</t>
        </is>
      </c>
      <c r="AY46" s="3" t="inlineStr"/>
      <c r="AZ46" s="3" t="inlineStr">
        <is>
          <t>110</t>
        </is>
      </c>
    </row>
    <row r="47">
      <c r="A47" s="3" t="inlineStr">
        <is>
          <t>3555-1-5</t>
        </is>
      </c>
      <c r="B47" s="3" t="inlineStr">
        <is>
          <t>Inv. no. 3555/1-5</t>
        </is>
      </c>
      <c r="C47" s="3" t="inlineStr">
        <is>
          <t>Property Deed</t>
        </is>
      </c>
      <c r="D47" s="3" t="inlineStr">
        <is>
          <t>صك ملكية</t>
        </is>
      </c>
      <c r="E47" s="3" t="inlineStr">
        <is>
          <t>From the zawiya of Sulayman Misu in al-Tarbi‘a</t>
        </is>
      </c>
      <c r="F47" s="3" t="inlineStr">
        <is>
          <t>من زاوية سليمان ميسو بالتربيعة</t>
        </is>
      </c>
      <c r="G47" s="3" t="inlineStr">
        <is>
          <t>A long wooden frieze in five fragments, bearing a Kufic inscription in two registers. The text reads (trans.): “In the name of God, the Most Gracious, the Most Merciful. This was granted by the grace of my Lord, to test me, to give thanks, or to be ungrateful. Whoever gives thanks does so for the benefit of his own soul; whoever is ungrateful, my Lord is self-sufficient and Generous. He has bestowed the shop, with all its boundaries and rights, above and below, upon His servatmar ibn Sulayman al-‘Attar, as a gift from His abundant grace and generosity.” Small curling leaves occasionally emerge from the letters, suggesting an early, modest form of floriated Kufic associated with the Fatimid period.
3555/2 3555/4</t>
        </is>
      </c>
      <c r="H47" s="3" t="inlineStr">
        <is>
          <t>إفريز خشبى طويل مقسم إلى خمسة أجزاء، يحمل نقشا بالخط الكوفى موزعا على سطرين، أوله آية رقم (٤٠) من سورة النمل يليها نص حقوق الملكية. وينص على-بسم للها الرحمن الرحيم- «هذا من فضل ربى ليبلونى أأشكر أم أكفر ومن شكر فإ نما يشكر لنفسه ومن كفر فإن ربى غنى كريم». قد أنعم بالحانوت بجميع حدوده وحقوقه، علوا وسفلا، على عبده عمر بن سالمة بن سليمان العطار، هبة من فضله الواسع وكرمه». وتنبثق من بعض الحروف أوراق نباتية صغيرة ملتفة، مما يشير إلى شكل مبكر ومحدود من تزيين الخط الكوفى المورق، وهو الأسلوب المرتبط بفترة العصر الفاطمى.
٣٥٥٥/١</t>
        </is>
      </c>
      <c r="I47" s="3" t="inlineStr">
        <is>
          <t>Fatimid, 4th century AH / 10th century CE</t>
        </is>
      </c>
      <c r="J47" s="3" t="inlineStr">
        <is>
          <t>فاطمى، القرن الرابع الهجرى / القرن العاشر الميلادى</t>
        </is>
      </c>
      <c r="K47" s="3" t="inlineStr">
        <is>
          <t>W: 362 cm; H: 26 cm</t>
        </is>
      </c>
      <c r="L47" s="3" t="inlineStr">
        <is>
          <t>العرض: ٢٦ سم، الطول الكلى: ٣٦٢ سم</t>
        </is>
      </c>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is>
          <t>https://mia.nadimfoundation.org/q3555-1-5</t>
        </is>
      </c>
      <c r="AT47" s="3">
        <f>IMAGE("https://api.qrserver.com/v1/create-qr-code/?size=300x300&amp;margin=8&amp;color=06444C&amp;bgcolor=EAE8D8&amp;data="&amp;ENCODEURL(AS47))</f>
        <v/>
      </c>
      <c r="AU47" s="3" t="inlineStr">
        <is>
          <t>Registered June 3, 1909</t>
        </is>
      </c>
      <c r="AV47" s="3" t="inlineStr">
        <is>
          <t>سجل فى ٣ يونيو ١٩٠٩</t>
        </is>
      </c>
      <c r="AW47" s="3" t="inlineStr"/>
      <c r="AX47" s="3" t="inlineStr"/>
      <c r="AY47" s="3" t="inlineStr"/>
      <c r="AZ47" s="3" t="inlineStr">
        <is>
          <t>112</t>
        </is>
      </c>
    </row>
    <row r="48">
      <c r="A48" s="3" t="inlineStr">
        <is>
          <t>11747</t>
        </is>
      </c>
      <c r="B48" s="3" t="inlineStr">
        <is>
          <t>Inv. no. 11747</t>
        </is>
      </c>
      <c r="C48" s="3" t="inlineStr">
        <is>
          <t>Foundation Inscription</t>
        </is>
      </c>
      <c r="D48" s="3" t="inlineStr">
        <is>
          <t>لوحة تأسيسية</t>
        </is>
      </c>
      <c r="E48" s="3" t="inlineStr">
        <is>
          <t>From the sabil of Amir Inal al-Yusufi</t>
        </is>
      </c>
      <c r="F48" s="3" t="inlineStr">
        <is>
          <t>من سبيل الأمير إينال اليوسفى</t>
        </is>
      </c>
      <c r="G48" s="3" t="inlineStr">
        <is>
          <t>This foundation inscription, executed in naskh script, commemorates the establishment of a sabil by al-Sayfi Inal al-Atabeki al-Maliki al-Dhahiri, his epithets identifying him as Atabek al-‘Asakir (Commander-in-Chief) and a former mamluk (slave soldier) of Sultan al-Zahir Barquq. Dated 795 AH (1393 CE), the inscription’s use of al-marhum (“the deceased”) reflects al-Maqrizi’s record of Inal’s death in 794 AH, indicating the sabil was completed posthumously. Epigraphically, the otherwise conventional naskh script is subtly enlivened by modest floral ornament: a small flower emerging from the ya’ of al-Sayfi and a bifurcated leaf in the register below, characteristic flourishes of late fourteenth-century Mamluk calligraphic practice.</t>
        </is>
      </c>
      <c r="H48" s="3" t="inlineStr">
        <is>
          <t>لوحة تأسيسية تحمل نقشا كتابيا بخط النسخ، تؤرخ لإنشاء سبيل على يد الأمير «السيفى إينال الأتابكى الملكى الظاهرى»، وتكشف ألقابه الواردة بها عن مكانته بصفته «أتابك العساكر» (القائد العام)، وبوصفه منتسبا إلى مماليك السلطان الظاهر برقوق. وتشير اللوحة المؤرخة عام ٧٩٥ هـ (١٣٩٣ م)، بوصفها للأمير بلفظ «المرحوم» إلى ما ذكره المقريزى عن وفاة إينال عام ٧٩٤ هـ، مما يدل على أن السبيل قد اكتمل بعد وفاته. ومن الناحية الخطية، تزدان كتابة النسخ التقليدية بزخارف نباتية رقيقة تضفى حيوية على النص؛ حيث تبرز زهرة صغيرة من حرف الياء فى كلمة «السيفى»، وورقة نباتية مشقوقة فى السطر السفلى، وهى لمسات زخرفية تميز الفن الخطى المملوكى فى أواخر القرن الرابع عشر.</t>
        </is>
      </c>
      <c r="I48" s="3" t="inlineStr">
        <is>
          <t>Burji Mamluk, 794-95 AH / 1392-93 CE</t>
        </is>
      </c>
      <c r="J48" s="3" t="inlineStr">
        <is>
          <t>مملوكى برجى، ٧٩٤-٧٩٥ هـ / ١٣٩٢-١٣٩٣ م</t>
        </is>
      </c>
      <c r="K48" s="3" t="inlineStr">
        <is>
          <t>W: 98.7 cm; H: 32.5 cm</t>
        </is>
      </c>
      <c r="L48" s="3" t="inlineStr">
        <is>
          <t>العرض: ٩٨٫٧ سم، الارتفاع: ٣٢٫٥ سم</t>
        </is>
      </c>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is>
          <t>https://mia.nadimfoundation.org/q11747</t>
        </is>
      </c>
      <c r="AT48" s="3">
        <f>IMAGE("https://api.qrserver.com/v1/create-qr-code/?size=300x300&amp;margin=8&amp;color=06444C&amp;bgcolor=EAE8D8&amp;data="&amp;ENCODEURL(AS48))</f>
        <v/>
      </c>
      <c r="AU48" s="3" t="inlineStr"/>
      <c r="AV48" s="3" t="inlineStr"/>
      <c r="AW48" s="3" t="inlineStr"/>
      <c r="AX48" s="3" t="inlineStr"/>
      <c r="AY48" s="3" t="inlineStr"/>
      <c r="AZ48" s="3" t="inlineStr">
        <is>
          <t>114</t>
        </is>
      </c>
    </row>
    <row r="49">
      <c r="A49" s="3" t="inlineStr">
        <is>
          <t>403-405</t>
        </is>
      </c>
      <c r="B49" s="3" t="inlineStr">
        <is>
          <t>Inv. no. 403, 405</t>
        </is>
      </c>
      <c r="C49" s="3" t="inlineStr">
        <is>
          <t>Minbar Panels</t>
        </is>
      </c>
      <c r="D49" s="3" t="inlineStr">
        <is>
          <t>لوحتا منبر</t>
        </is>
      </c>
      <c r="E49" s="3" t="inlineStr">
        <is>
          <t>From one or two minbars attributed to Sultan Jaqmaq</t>
        </is>
      </c>
      <c r="F49" s="3" t="inlineStr">
        <is>
          <t>من منبر واحد أو منبرين منسوبين إلى السلطان جقمق</t>
        </is>
      </c>
      <c r="G49" s="3" t="inlineStr">
        <is>
          <t>These two panels are among the sole surviving elements of one or possibly two minbars attributed to Sultan Jaqmaq (r. 1438-53). Both bear identical foundation inscriptions in naskh which read: “Ordered the construction of this blessed minbar, [our lord] the Sultan al-Malik al-Zahir Abu Sa‘id Muhammad Jaqmaq, may his victory be glorified.” Among the pair, No. 405 is distinguished by sharper calligraphic outlines and a more assured execution, suggesting either a different hand or a higher level of craftsmanship within the same commission. Their size and content suggest they originally flanked the passage doors (abwab al-roda) on either side of a minbar, although it remains uncertain which of Jaqmaq’s minbars they were part of. The sultan is known to have erected three mosques during his lifetime: one on al-Marasina St. near the mosque of Sayyida Zaynab, another in Darb al-Sa‘ada, and a third, no longer extant, in al-Fustat. Today, new minbars survive in the two extant mosques, making these panels a rare remnant of the lost originals. Identical inscriptions also appear on the flanks of the minbar Jaqmaq commissioned for Sultan Barquq’s complex (786-88 AH / 1384-86 CE) on al-Mu‘izz Street. Although Jaqmaq was not known for extensive or innovative artistic patronage, such commissions, often in the context of restoration or renewal, appear to have served as a means of asserting personal piety and architectural stewardship rather than visual ambition.</t>
        </is>
      </c>
      <c r="H49" s="3" t="inlineStr">
        <is>
          <t>يعد هذان اللوحان من العناصر القليلة الباقية - وربما الوحيدة - من منبر واحد أو منبرين محتملين ينسبان إلى السلطان جقمق (حكم ١٤٣٨-١٤٥٣). ويحمل كلاهما نصا تأسيسيا متطابقا بخط النسخ نصه: «أمر بعمل هذا المنبر المبارك (مولانا) السلطان الملك الظاهر محمد أبو سعيد جقمق، عز نصره». ومن بين اللوحين، يتميز اللوح رقم ٤٠٥ بحدود خطية أكثر حدة ووضوحا، وبأسلوب تنفيذ أكثر ثباتا وإحكاما، مما قد يشير إلى اختلاف اليد المنفذة أو إلى مستوى أعلى من الإتقان ضمن التكليف نفسه. كما يوحى حجمهما ومضمون النقش بأنهما كانا فى الأصل يثبتان أعلى أبواب الروضة على جانبى المنبر، غير أن تحديد أى من منابر جقمق كانا جزءا منه يظل غير محسوم. ومن المعروف أن السلطان شيد ثلاثة مساجد خلال حياته: واحد فى شارع المراسينا بالقرب من مسجد السيدة زينب، والثانى فى درب سعادة، والثالث فى الفسطاط ولكنه فى عداد المبانى المندثرة. وتوجد اليوم منابر حديثة فى المسجدين الباقيين، مما يجعل هذين اللوحين قطع نادرة من المنابر الأصلية المفقودة. وتظهر نقوش متطابقة أيضا على جانبى المنبر الذى كلف جقمق بصنعه لمجمع السلطان برقوق (٧٨٦-٧٨٨ هـ / ١٣٨٤-١٣٨٦ م) فى شارع المعز. وعلى الرغم من أن جقمق لم يعرف برعاية فنية واسعة أو مبتكرة، فإن مثل هذه الأعمال - التى كثيرا ما جاءت فى سياق الترميم أو التجديد - تبدو أنها كانت وسيلة لإبراز التقوى الشخصية وتأكيد الرعاية المعمارية، أكثر من كونها سعيا إلى طموح فنى بصرى أو استعراضى.</t>
        </is>
      </c>
      <c r="I49" s="3" t="inlineStr">
        <is>
          <t>Burji Mamluk, 848-55 AH / 1444-51 CE</t>
        </is>
      </c>
      <c r="J49" s="3" t="inlineStr">
        <is>
          <t>مملوكى برجى، ٨٤٨-٨٥٥ هـ / ١٤٤٤-١٤٥١ م</t>
        </is>
      </c>
      <c r="K49" s="3" t="inlineStr">
        <is>
          <t>403 - W: 45 cm; H: 14 cm
405 - W: 45 cm; H: 14.5 cm</t>
        </is>
      </c>
      <c r="L49" s="3" t="inlineStr">
        <is>
          <t>٤٠٣ – العرض: ٤٥ سم، الطول: ١٤ سم
٤٠٥ – العرض: ٤٥ سم، الطول: ١٤٫٥ سم</t>
        </is>
      </c>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is>
          <t>https://mia.nadimfoundation.org/q403-405</t>
        </is>
      </c>
      <c r="AT49" s="3">
        <f>IMAGE("https://api.qrserver.com/v1/create-qr-code/?size=300x300&amp;margin=8&amp;color=06444C&amp;bgcolor=EAE8D8&amp;data="&amp;ENCODEURL(AS49))</f>
        <v/>
      </c>
      <c r="AU49" s="3" t="inlineStr"/>
      <c r="AV49" s="3" t="inlineStr"/>
      <c r="AW49" s="3" t="inlineStr"/>
      <c r="AX49" s="3" t="inlineStr"/>
      <c r="AY49" s="3" t="inlineStr"/>
      <c r="AZ49" s="3" t="inlineStr">
        <is>
          <t>117</t>
        </is>
      </c>
    </row>
    <row r="50">
      <c r="A50" s="3" t="inlineStr">
        <is>
          <t>621-1-2</t>
        </is>
      </c>
      <c r="B50" s="3" t="inlineStr">
        <is>
          <t>Inv. no. 621/1-2</t>
        </is>
      </c>
      <c r="C50" s="3" t="inlineStr">
        <is>
          <t>Panels</t>
        </is>
      </c>
      <c r="D50" s="3" t="inlineStr">
        <is>
          <t>لوحتان</t>
        </is>
      </c>
      <c r="E50" s="3" t="inlineStr"/>
      <c r="F50" s="3" t="inlineStr"/>
      <c r="G50" s="3" t="inlineStr">
        <is>
          <t>Two large wooden panels of unknown provenance, decorated with an expansive pattern of interlacing vine scrolls, punctuated by leaves and overlapping with a bold thuluth inscription. The scale of the panels and the monumentality of their designs suggest they were originally part of a large architectural fixture. Remnants of gilding hint at their once-vibrant appearance; the use of gold, often paired with a contrasting dark blue, was a common feature in the monumental inscriptions of medieval Cairo. The prominence of thuluth script and dense vegetal composition may further suggest a Mamluk-period date.</t>
        </is>
      </c>
      <c r="H50" s="3" t="inlineStr">
        <is>
          <t>لوحان خشبيان كبيران مجهولي المصدر، زينا بتكوين زخرفى واسع من أفرع نبات الكرمة الملتفة والمتداخلة، تتخللها أوراق نباتية يعلوها كتابات بارزة بخط الثلث. ويشير حجم القطعتين والطابع الزخرفى لتصميمهما إلى أنهما كانا فى الأصل جزءا من عنصر معمارى ثابت كبير. كما توحى بقايا التذهيب بحيوية مظهرهما سابقا، إذ كان استخدام الذهب وغالبا ما كان يقرن بلون أزرق داكن متباين سمة شائعة فى النقوش الضخمة فى القاهرة خلال العصور الوسطى. وقد يرجح حضور خط الثلث بهذه الصورة البارزة، إلى جانب التكوين النباتى الكثيف، تأريخ الوحدتين غالبا إلى العصر المملوكى.</t>
        </is>
      </c>
      <c r="I50" s="3" t="inlineStr"/>
      <c r="J50" s="3" t="inlineStr"/>
      <c r="K50" s="3" t="inlineStr">
        <is>
          <t>621/1 - W: 22 cm; H: 138 cm
621/2 - W: 21.5 cm; H: 100 cm</t>
        </is>
      </c>
      <c r="L50" s="3" t="inlineStr">
        <is>
          <t>٦٢١/١ - العرض: ٢٢ سم، الطول: ١٣٨ سم
٦٢١/٢ - العرض: ٢١٫٥ سم، الطول: ١٠٠ سم</t>
        </is>
      </c>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is>
          <t>https://mia.nadimfoundation.org/q621-1-2</t>
        </is>
      </c>
      <c r="AT50" s="3">
        <f>IMAGE("https://api.qrserver.com/v1/create-qr-code/?size=300x300&amp;margin=8&amp;color=06444C&amp;bgcolor=EAE8D8&amp;data="&amp;ENCODEURL(AS50))</f>
        <v/>
      </c>
      <c r="AU50" s="3" t="inlineStr"/>
      <c r="AV50" s="3" t="inlineStr"/>
      <c r="AW50" s="3" t="inlineStr"/>
      <c r="AX50" s="3" t="inlineStr"/>
      <c r="AY50" s="3" t="inlineStr"/>
      <c r="AZ50" s="3" t="inlineStr">
        <is>
          <t>118</t>
        </is>
      </c>
    </row>
    <row r="51">
      <c r="A51" s="3" t="inlineStr">
        <is>
          <t>550</t>
        </is>
      </c>
      <c r="B51" s="3" t="inlineStr">
        <is>
          <t>Inv. no. 550</t>
        </is>
      </c>
      <c r="C51" s="3" t="inlineStr">
        <is>
          <t>Panel</t>
        </is>
      </c>
      <c r="D51" s="3" t="inlineStr">
        <is>
          <t>لوح</t>
        </is>
      </c>
      <c r="E51" s="3" t="inlineStr"/>
      <c r="F51" s="3" t="inlineStr"/>
      <c r="G51" s="3" t="inlineStr">
        <is>
          <t>A triangular lathe-turned panel inlaid with darkwood pegs. The octagonal pattern is formed by long diagonal members composed of alternating elongated hexagons and smaller ringed elements known as firakh (sing. farkh, lit. “shoots” of a tree), requiring the craftsman to turn individual members on more than one axis and producing a subtle cranking effect. Additional firakh and square elements serve as interlocking connectors between these zigzagging diagonals, stabilising the composition. The style of joinery and ornament suggests a dating to the late Mamluk or early Ottoman periods.</t>
        </is>
      </c>
      <c r="H51" s="3" t="inlineStr">
        <is>
          <t>وحدة مثلثة من الخرط، مطعمة بزراير من الخشب الداكن، وتتكون من وحدات مثمنة من عوارض قطرية طويلة عبارة عن إلتقاء أشكال مسدسة مستطيلة مع وحدات دائرية مخروطهة تعرف باسم “الفراخ” ومفردها “فرخ”، والمقصود بها القطعة التى تربط بين موتيفات أو وحدات الخرط الأساسية. تصنيع تلك المثلثات يستدعى درجة عالية من المهارة فى الخرط مع الابداع فى التنفيذ والإبتكار، فبعض القطع تخرط على أكثر من محور مما يشهد على مهارة صانعها وتمكنه من حرفته. فتنفذ فروخ إضافية مع عناصر مربعة لتعمل بوصفها وصلات تعشيق تربط بين هذه الخطوط القطرية المتعرجة، مما يمنح التكوين تماسكا وثباتا. وتشير أساليب التعشيق والزخرفة إلى أن تاريخ هذه القطعة يعود إلى العصر المملوكى أو بدايات العصر العثمانى.</t>
        </is>
      </c>
      <c r="I51" s="3" t="inlineStr"/>
      <c r="J51" s="3" t="inlineStr"/>
      <c r="K51" s="3" t="inlineStr">
        <is>
          <t>W: 40 cm; H: 43 cm</t>
        </is>
      </c>
      <c r="L51" s="3" t="inlineStr">
        <is>
          <t>العرض: ٤٠ سم، الطول: ٤٣ سم</t>
        </is>
      </c>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is>
          <t>https://mia.nadimfoundation.org/q550</t>
        </is>
      </c>
      <c r="AT51" s="3">
        <f>IMAGE("https://api.qrserver.com/v1/create-qr-code/?size=300x300&amp;margin=8&amp;color=06444C&amp;bgcolor=EAE8D8&amp;data="&amp;ENCODEURL(AS51))</f>
        <v/>
      </c>
      <c r="AU51" s="3" t="inlineStr"/>
      <c r="AV51" s="3" t="inlineStr"/>
      <c r="AW51" s="3" t="inlineStr"/>
      <c r="AX51" s="3" t="inlineStr"/>
      <c r="AY51" s="3" t="inlineStr"/>
      <c r="AZ51" s="3" t="inlineStr">
        <is>
          <t>130</t>
        </is>
      </c>
    </row>
    <row r="52">
      <c r="A52" s="3" t="inlineStr">
        <is>
          <t>528</t>
        </is>
      </c>
      <c r="B52" s="3" t="inlineStr">
        <is>
          <t>Inv. no. 528</t>
        </is>
      </c>
      <c r="C52" s="3" t="inlineStr">
        <is>
          <t>Window Grille</t>
        </is>
      </c>
      <c r="D52" s="3" t="inlineStr">
        <is>
          <t>شباك</t>
        </is>
      </c>
      <c r="E52" s="3" t="inlineStr"/>
      <c r="F52" s="3" t="inlineStr"/>
      <c r="G52" s="3" t="inlineStr">
        <is>
          <t>(“empty cross”) lathe-work from Inv. No. 528 Lathe-turned wooden window grille featuring an array of geometric patterns based on hexagons and squares, further subdivided into triangles and lozenges. The upper and lower sections employ a local wood-turning style known as mosadas (“hexagon”), while the central sections feature cross-based patterns: salib malyan (“full cross”) for squares with X-shaped centres, and salib fadi (“empty cross”) for squares with a single diagonal. In an intriguing instance of asymmetry, the sixth row from the top on the right-hand side departs from its mirrored counterpart, adopting instead a wave-like configuration known as mawg (“wave”).</t>
        </is>
      </c>
      <c r="H52" s="3" t="inlineStr">
        <is>
          <t>شباك خشبى منفذ بأسلوب الخرط، يضم مجموعة من الأنماط الهندسية القائمة على التصميمات السداسية والمربعة، والمقسمة بدورها إلى مثلثات ومعينات. ويعتمد الجزآن العلوى والسفلى على أسلوب خراطة محلى يعرف باسم «مسدس»، بينما تتضمن الأجزاء الوسطى أنماطا قائمة على الصليب: صليب مليان (كامل) للمربعات ذات المراكز المتقاطعة، وصليب فاضى للمربعات ذات القطر الواحد. وفى مثال لافت على عدم التماثل، يختلف الصف السادس من الأعلى فى الجهة اليمنى عن نظيره المقابل، إذ يتخذ تشكيلا متموجا يعرف باسم موج.</t>
        </is>
      </c>
      <c r="I52" s="3" t="inlineStr"/>
      <c r="J52" s="3" t="inlineStr"/>
      <c r="K52" s="3" t="inlineStr">
        <is>
          <t>W: 108 cm; H: 112 cm</t>
        </is>
      </c>
      <c r="L52" s="3" t="inlineStr">
        <is>
          <t>العرض: ١٠٨ سم، الطول: ١١٢ سم</t>
        </is>
      </c>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is>
          <t>https://mia.nadimfoundation.org/q528</t>
        </is>
      </c>
      <c r="AT52" s="3">
        <f>IMAGE("https://api.qrserver.com/v1/create-qr-code/?size=300x300&amp;margin=8&amp;color=06444C&amp;bgcolor=EAE8D8&amp;data="&amp;ENCODEURL(AS52))</f>
        <v/>
      </c>
      <c r="AU52" s="3" t="inlineStr"/>
      <c r="AV52" s="3" t="inlineStr"/>
      <c r="AW52" s="3" t="inlineStr"/>
      <c r="AX52" s="3" t="inlineStr"/>
      <c r="AY52" s="3" t="inlineStr"/>
      <c r="AZ52" s="3" t="inlineStr">
        <is>
          <t>132</t>
        </is>
      </c>
    </row>
    <row r="53">
      <c r="A53" s="3" t="inlineStr">
        <is>
          <t>505</t>
        </is>
      </c>
      <c r="B53" s="3" t="inlineStr">
        <is>
          <t>Inv. no. 505</t>
        </is>
      </c>
      <c r="C53" s="3" t="inlineStr">
        <is>
          <t>Balustrade</t>
        </is>
      </c>
      <c r="D53" s="3" t="inlineStr">
        <is>
          <t>درابزين</t>
        </is>
      </c>
      <c r="E53" s="3" t="inlineStr">
        <is>
          <t>From Manzil Sitt ‘Aisha al-Bayda</t>
        </is>
      </c>
      <c r="F53" s="3" t="inlineStr">
        <is>
          <t>من منزل ست عائشة البيضاء</t>
        </is>
      </c>
      <c r="G53" s="3" t="inlineStr">
        <is>
          <t>Originally part of a presumably longer balustrade, these lathe-turned elements were later mounted into a modern frame, perhaps to evoke their original configuration. In their initial arrangement, the square pieces would have been aligned and connected along the horizontal axis by an additional series of small lathe-turned elements; the drilled holes that once secured these connectors remain visible. In the current assembly, the fleurons are positioned inconsistently — facing upward or downward — whereas the original layout likely followed a more deliberate order, either alternating in sequence or uniformly oriented, probably with all fleurons facing upward.</t>
        </is>
      </c>
      <c r="H53" s="3" t="inlineStr">
        <is>
          <t>كانت هذه القطعة فى الأصل جزءا من درابزين يعتقد أنه كان أطول، ثم أعيد تثبيت برامقه من الخشب الخرط ضمن إطار حديث، ربما فى محاولة لاستحضار هيئته الأصلية. وفى تكوينه الأصلى، كانت القطع المربعة تصطف وتتصل على طول المحور الأفقى من خلال سلسلة إضافية من العناصر الصغيرة المنفذة بالخرط، ولا تزال الثقوب (النقر) التى كانت تثبت هذه الوصلات مرئية حتى اليوم. وفى التكوين الحالى، وضعت الأزهار بشكل غير متناسق - بعضها متجه إلى أعلى وبعضها إلى أسفل - فى حين يرجح أن التنسيق الأصلى كان أكثر انضباطا، إما بالتناوب المنتظم أو باتجاه موحد، وعلى الأرجح كانت جميع الأزهار متجهة إلى أعلى.</t>
        </is>
      </c>
      <c r="I53" s="3" t="inlineStr"/>
      <c r="J53" s="3" t="inlineStr"/>
      <c r="K53" s="3" t="inlineStr">
        <is>
          <t>W: 127 cm; H: 40 cm</t>
        </is>
      </c>
      <c r="L53" s="3" t="inlineStr">
        <is>
          <t>العرض: ١٢٧ سم، الطول: ٤٠ سم</t>
        </is>
      </c>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is>
          <t>https://mia.nadimfoundation.org/q505</t>
        </is>
      </c>
      <c r="AT53" s="3">
        <f>IMAGE("https://api.qrserver.com/v1/create-qr-code/?size=300x300&amp;margin=8&amp;color=06444C&amp;bgcolor=EAE8D8&amp;data="&amp;ENCODEURL(AS53))</f>
        <v/>
      </c>
      <c r="AU53" s="3" t="inlineStr"/>
      <c r="AV53" s="3" t="inlineStr"/>
      <c r="AW53" s="3" t="inlineStr"/>
      <c r="AX53" s="3" t="inlineStr"/>
      <c r="AY53" s="3" t="inlineStr"/>
      <c r="AZ53" s="3" t="inlineStr">
        <is>
          <t>134</t>
        </is>
      </c>
    </row>
    <row r="54">
      <c r="A54" s="3" t="inlineStr">
        <is>
          <t>3512</t>
        </is>
      </c>
      <c r="B54" s="3" t="inlineStr">
        <is>
          <t>Inv. no. 3512</t>
        </is>
      </c>
      <c r="C54" s="3" t="inlineStr">
        <is>
          <t>Window Grille</t>
        </is>
      </c>
      <c r="D54" s="3" t="inlineStr">
        <is>
          <t>شباك</t>
        </is>
      </c>
      <c r="E54" s="3" t="inlineStr">
        <is>
          <t>From the library of Sultan Baybars al-Jashankir on al-Mu‘izz Street</t>
        </is>
      </c>
      <c r="F54" s="3" t="inlineStr">
        <is>
          <t>من مكتبة السلطان بيبرس الجاشنكير بشارع المعز، القاهرة</t>
        </is>
      </c>
      <c r="G54" s="3" t="inlineStr">
        <is>
          <t>Window grille in two sections; the larger executed in the mangur technique. The lower panel features a version of the traditional mafruka, or hooked cross motif. The grille was originally part of the library of Baybars al-Jashankir (708-09 AH /1309-10 CE) within his complex on al-Mu‘izz Street; designs of this kind were once common across both religious and secular architecture in medieval Cairo, with notable examples in the ribat of Ahmad ibn Sulayman al- Rifa‘i (690-91 AH / 1291 CE), the madrasa of Qatlubugha al-Dhahabi (747-48 AH / 1347 CE), and the Hanging Church, among others.</t>
        </is>
      </c>
      <c r="H54" s="3" t="inlineStr">
        <is>
          <t>شباك مكون من قسمين، نفذ الجزء الأكبر منه بتقنية المنجور. أما الجزء السفلى فيتضمن زخرفة من نمط المفروكة التقليدى، أو ما يعرف بزخارف الصليب المعقوف. وكان الشباك فى الأصل جزءا من مكتبة بيبرس الجاشنكير (٧٠٨-٧٠٩ هـ / ١٣٠٩-١٣١٠ م)، ضمن مجموعته المعمارية بشارع المعز. وقد شاعت مثل هذه التصاميم فى العمارة الدينية والمدنية فى القاهرة خلال العصور الوسطى، ومن أمثلتها رباط أحمد بن سليمان الرفاعى (٦٩٠-٦٩١ هـ / ١٢٩١ م)، ومدرسة قتلوبغا الذهبى (٧٤٧-٧٤٨ هـ / ١٣٤٧ م)، والكنيسة المعلقة، وغيرها.</t>
        </is>
      </c>
      <c r="I54" s="3" t="inlineStr">
        <is>
          <t>Bahri Mamluk, 708-09 AH / 1309-10 CE</t>
        </is>
      </c>
      <c r="J54" s="3" t="inlineStr">
        <is>
          <t>مملوكى بحرى، ٧٠٨-٧٠٩ هـ / ١٣٠٩-١٣١٠ م</t>
        </is>
      </c>
      <c r="K54" s="3" t="inlineStr">
        <is>
          <t>W: 61 cm; H: 186 cm</t>
        </is>
      </c>
      <c r="L54" s="3" t="inlineStr">
        <is>
          <t>العرض: ٦١ سم، الطول: ١٨٦ سم</t>
        </is>
      </c>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is>
          <t>https://mia.nadimfoundation.org/q3512</t>
        </is>
      </c>
      <c r="AT54" s="3">
        <f>IMAGE("https://api.qrserver.com/v1/create-qr-code/?size=300x300&amp;margin=8&amp;color=06444C&amp;bgcolor=EAE8D8&amp;data="&amp;ENCODEURL(AS54))</f>
        <v/>
      </c>
      <c r="AU54" s="3" t="inlineStr"/>
      <c r="AV54" s="3" t="inlineStr"/>
      <c r="AW54" s="3" t="inlineStr">
        <is>
          <t>Acquired 29 April, 1909</t>
        </is>
      </c>
      <c r="AX54" s="3" t="inlineStr">
        <is>
          <t>اقتنى فى ٢٩ أبريل ١٩٠٩</t>
        </is>
      </c>
      <c r="AY54" s="3" t="inlineStr"/>
      <c r="AZ54" s="3" t="inlineStr">
        <is>
          <t>135</t>
        </is>
      </c>
    </row>
    <row r="55">
      <c r="A55" s="3" t="inlineStr">
        <is>
          <t>4392</t>
        </is>
      </c>
      <c r="B55" s="3" t="inlineStr">
        <is>
          <t>Inv. no. 4392</t>
        </is>
      </c>
      <c r="C55" s="3" t="inlineStr">
        <is>
          <t>Window Grille</t>
        </is>
      </c>
      <c r="D55" s="3" t="inlineStr">
        <is>
          <t>شباك</t>
        </is>
      </c>
      <c r="E55" s="3" t="inlineStr">
        <is>
          <t>From the mosque of Sidi Abdallah al- Sharif, Damietta</t>
        </is>
      </c>
      <c r="F55" s="3" t="inlineStr">
        <is>
          <t>من مسجد سيدى عبدلله ا الشريف، دمياط</t>
        </is>
      </c>
      <c r="G55" s="3" t="inlineStr">
        <is>
          <t>Wooden window grille from the mosque of Sidi Abdallah al-Sharif in Damietta. The panel bears two inscriptions executed in a clear naskh script, notable for broad, flat, raised strokes and fully articulated diacritics. The upper inscription, arranged across three narrow horizontal bands separated by vertical mouldings, paraphrases Qur’an 9:18 (Surat al- Tawbah) and records the restoration of the mosque by the amir al-liwa Dilawar in 1072 AH (1661-62), accompanied by a prayer for divine reward and continued prosperity. Beyond his title, equivalent in later Ottoman usage to a military rank comparable to a brigadier general, little is known of the patron. A second inscription, set within the central panel and arranged in two registers, bears a shahada. The remaining surface is articulated by eight openwork panels executed in the abu ganzeer technique, showcasing interlocking geometric patterns characteristic of late medieval Egyptian woodwork.</t>
        </is>
      </c>
      <c r="H55" s="3" t="inlineStr">
        <is>
          <t>شباك خشبى من مسجد سيدى عبد للها الشريف بمحافظة دمياط. يحمل اللوح نقشين منفذين بخط النسخ الواضح، الذى يتميز بضرباته العريضة المستوية والبارزة، مع تشكيل كامل للحروف. ويأتى النقش العلوى موزعا على ثلاثة أشرطة أفقية ضيقة تفصل بينها فواصل رأسية، ويتضمن النص صياغة قريبة من الآية رقم (١٨) من سورة التوبة، النص الخاص بتجديد المسجد على يد الأمير اللواء دلاور سنة (١٠٧٢ هـ / ١٦٦١-١٦٦٢ م)، ويصاحبه دعاء له بالثواب ودوام الخير. ولا يعرف عن هذا الراعى سوى لقبه، إذ كان منصب أمير لواء يعادل فى العصر العثمانى المتأخر رتبة عسكرية تقارب رتبة عميد. أما النقش الكتابى الثانى فهو موزع على سطرين يتضمنان صيغة الشهادة. وقد جاء وسط المساحة المفرغة المكونة من ثمانية ألواح مربعة الشكل ذات زخارف مفرغة نفذت بتقنية أبو جنزير، التى تظهر أشكالا هندسية متداخلة. وتبرز القطعة الأنماط الهندسية التى ميزت بها الأعمال الخشبية المصرية فى أواخر العصور الوسطى.المصرية فى أواخر العصور الوسطى.</t>
        </is>
      </c>
      <c r="I55" s="3" t="inlineStr">
        <is>
          <t>Ottoman, 1072 AH / 1661-62 CE</t>
        </is>
      </c>
      <c r="J55" s="3" t="inlineStr">
        <is>
          <t>عثمانى، ١٠٧٢ هـ / ١٦٦١-١٦٦٢ م</t>
        </is>
      </c>
      <c r="K55" s="3" t="inlineStr">
        <is>
          <t>W: 105.5; H: 140 cm</t>
        </is>
      </c>
      <c r="L55" s="3" t="inlineStr">
        <is>
          <t>العرض: ١٠٥٫٥ سم، الطول: ١٤٠ سم</t>
        </is>
      </c>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is>
          <t>https://mia.nadimfoundation.org/q4392</t>
        </is>
      </c>
      <c r="AT55" s="3">
        <f>IMAGE("https://api.qrserver.com/v1/create-qr-code/?size=300x300&amp;margin=8&amp;color=06444C&amp;bgcolor=EAE8D8&amp;data="&amp;ENCODEURL(AS55))</f>
        <v/>
      </c>
      <c r="AU55" s="3" t="inlineStr">
        <is>
          <t>Registered April 8, 1916</t>
        </is>
      </c>
      <c r="AV55" s="3" t="inlineStr">
        <is>
          <t>سجل فى ٨ أبريل ١٩١٦</t>
        </is>
      </c>
      <c r="AW55" s="3" t="inlineStr"/>
      <c r="AX55" s="3" t="inlineStr"/>
      <c r="AY55" s="3" t="inlineStr"/>
      <c r="AZ55" s="3" t="inlineStr">
        <is>
          <t>136</t>
        </is>
      </c>
    </row>
    <row r="56">
      <c r="A56" s="3" t="inlineStr">
        <is>
          <t>612</t>
        </is>
      </c>
      <c r="B56" s="3" t="inlineStr">
        <is>
          <t>Inv. no. 612</t>
        </is>
      </c>
      <c r="C56" s="3" t="inlineStr">
        <is>
          <t>Mashrabeya</t>
        </is>
      </c>
      <c r="D56" s="3" t="inlineStr">
        <is>
          <t>مشربية</t>
        </is>
      </c>
      <c r="E56" s="3" t="inlineStr"/>
      <c r="F56" s="3" t="inlineStr"/>
      <c r="G56" s="3" t="inlineStr">
        <is>
          <t>Lathe-turned mashrabeya with an upper panel decorated with four eight-pointed stars, arranged in pairs flanking an olla waterjug. As in No. 596, the small central opening, crowned by a row of baramiq (“balusters”), slides upwards and is secured by a stop-peg mechanism characteristic of Ottoman window work. From a technical standpoint, particular note should be made of the thick upper and lower framing bands of the large rectangular panels flanking the window, each fashioned from a single continuous length of wood forming a straight horizontal member. This solution enhances structural stability while remaining visually unobtrusive. The craftsman’s skill lies in the successful concealment of this unified structural element beneath what appears to be a heterogeneous assemblage of lathe-turned elements. Typical of Ottoman woodwork, the range of turning typologies employed here — including mawg (“wave”) motifs, salib fadi (“empty cross”), and mosaddas (“hexagon”) forms — attests both to the versatility of the technique and the inventiveness of its maker.</t>
        </is>
      </c>
      <c r="H56" s="3" t="inlineStr">
        <is>
          <t>مشربية منفذة بالخشب الخرط، يتزين قسمها العلوى بأربع نجمات ثمانية الرؤوس مرتبة فى زوجين يحيطان بإناء للشرب (قلة). وكما فى القطعة رقم ٥٩٦، تتحرك الفتحة المركزية الصغيرة - التى تعلوها صفوف من البرامق - إلى أعلى، وتثبت بآلية وتد مانع للحركة من الطراز العثمانى. ومن الناحية التقنية، من الجدير بالذكر الإشارة إلى الشريطين العلوى والسفلى السميكين اللذين يؤطران الأجزاء المستطيلة الكبيرة على جانبى الشباك، قد نفذا من قطعة خشبية واحدة متصلة، تشكل جزءا أفقيا مستقيما. ويسهم هذا الحل فى تعزيز الثبات البنائى من دون أن يلفت النظر بصريا. وتكمن مهارة الحرفى فى إخفاء هذا العنصر البنائى الموحد خلف ما يبدو تجميعا متنوعا من العناصر المخروطة والمحفورة. وكما هو مألوف فى الأعمال الخشبية العثمانية، فإن تنوع تصاميم الخشب الخرط المستخدمة هنا ومنها نمط الموج، وصليب فاضى، ومسدس يشهد على مرونة التقنية وابتكار صانعها.</t>
        </is>
      </c>
      <c r="I56" s="3" t="inlineStr"/>
      <c r="J56" s="3" t="inlineStr"/>
      <c r="K56" s="3" t="inlineStr">
        <is>
          <t>W: 232 cm; H: 229 cm</t>
        </is>
      </c>
      <c r="L56" s="3" t="inlineStr">
        <is>
          <t>العرض: ٢٣٢ سم، الطول: ٢٢٩ سم</t>
        </is>
      </c>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is>
          <t>https://mia.nadimfoundation.org/q612</t>
        </is>
      </c>
      <c r="AT56" s="3">
        <f>IMAGE("https://api.qrserver.com/v1/create-qr-code/?size=300x300&amp;margin=8&amp;color=06444C&amp;bgcolor=EAE8D8&amp;data="&amp;ENCODEURL(AS56))</f>
        <v/>
      </c>
      <c r="AU56" s="3" t="inlineStr"/>
      <c r="AV56" s="3" t="inlineStr"/>
      <c r="AW56" s="3" t="inlineStr"/>
      <c r="AX56" s="3" t="inlineStr"/>
      <c r="AY56" s="3" t="inlineStr"/>
      <c r="AZ56" s="3" t="inlineStr">
        <is>
          <t>140</t>
        </is>
      </c>
    </row>
    <row r="57">
      <c r="A57" s="3" t="inlineStr">
        <is>
          <t>11641</t>
        </is>
      </c>
      <c r="B57" s="3" t="inlineStr">
        <is>
          <t>Inv. no. 11641</t>
        </is>
      </c>
      <c r="C57" s="3" t="inlineStr">
        <is>
          <t>Ceiling Fragment</t>
        </is>
      </c>
      <c r="D57" s="3" t="inlineStr">
        <is>
          <t>قطعة من سقف</t>
        </is>
      </c>
      <c r="E57" s="3" t="inlineStr">
        <is>
          <t>From a tomb in ‘Ayn al-Sira</t>
        </is>
      </c>
      <c r="F57" s="3" t="inlineStr">
        <is>
          <t>من مقبرة فى عين الصيرة</t>
        </is>
      </c>
      <c r="G57" s="3" t="inlineStr">
        <is>
          <t>Recovered from a tomb in ‘Ayn al-Sira, this painted wooden ceiling panel, preserved in two parts, bears traces of ornament arranged around a central medallion, possibly depicting a bird, framed by three Sasanian-style “pearl” bands. Remnants of red, dark blue, and cream hint at the panel’s original vibrant appearance.</t>
        </is>
      </c>
      <c r="H57" s="3" t="inlineStr">
        <is>
          <t>عثر على هذا اللوح الخشبى ذى الرسومات الملونة فى مقبرة بمنطقة عين الصيرة، وهو يتألف من قطعتين من سقف. وتظهر على سطحه آثار زخرفة موزعة حول جامة مركزية، يحتمل أن تكون تصور هيئة طائرا، يحيط بها إطار مكون من ثلاثة أشرطة لؤلؤية على الطراز الساسانى. كما تشير بقايا الألوان: الأحمر والأزرق الداكن واللون العاجى إلى ما كان عليه السقف فى الأصل من مظهر زاه وحيوى.</t>
        </is>
      </c>
      <c r="I57" s="3" t="inlineStr"/>
      <c r="J57" s="3" t="inlineStr"/>
      <c r="K57" s="3" t="inlineStr">
        <is>
          <t>W: 35 cm; L: 26.4 cm, in two pieces</t>
        </is>
      </c>
      <c r="L57" s="3" t="inlineStr">
        <is>
          <t>العرض: ٣٥ سم، الطول: ٢٦٫٤ سم، فى جزأين</t>
        </is>
      </c>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is>
          <t>https://mia.nadimfoundation.org/q11641</t>
        </is>
      </c>
      <c r="AT57" s="3">
        <f>IMAGE("https://api.qrserver.com/v1/create-qr-code/?size=300x300&amp;margin=8&amp;color=06444C&amp;bgcolor=EAE8D8&amp;data="&amp;ENCODEURL(AS57))</f>
        <v/>
      </c>
      <c r="AU57" s="3" t="inlineStr">
        <is>
          <t>Registered January 1, 1933</t>
        </is>
      </c>
      <c r="AV57" s="3" t="inlineStr">
        <is>
          <t>مسجلة بتاريخ ١ يناير ١٩٣٣</t>
        </is>
      </c>
      <c r="AW57" s="3" t="inlineStr"/>
      <c r="AX57" s="3" t="inlineStr"/>
      <c r="AY57" s="3" t="inlineStr"/>
      <c r="AZ57" s="3" t="inlineStr">
        <is>
          <t>146</t>
        </is>
      </c>
    </row>
    <row r="58">
      <c r="A58" s="3" t="inlineStr">
        <is>
          <t>1421</t>
        </is>
      </c>
      <c r="B58" s="3" t="inlineStr">
        <is>
          <t>Inv. no. 1421</t>
        </is>
      </c>
      <c r="C58" s="3" t="inlineStr">
        <is>
          <t>Ceiling Panel</t>
        </is>
      </c>
      <c r="D58" s="3" t="inlineStr">
        <is>
          <t>لوح سقفى</t>
        </is>
      </c>
      <c r="E58" s="3" t="inlineStr"/>
      <c r="F58" s="3" t="inlineStr"/>
      <c r="G58" s="3" t="inlineStr">
        <is>
          <t>This long, narrow panel was likely applied as a decorative veneer to the underbeam of a beamed or coffered ceiling and is ornamented with reciprocal polylobed arches, interlaced medallions, and foils rendered in a palette dominated by gold, dark blue, and cream.</t>
        </is>
      </c>
      <c r="H58" s="3" t="inlineStr">
        <is>
          <t>هذا السقف الخشبى الطويل والضيق، يرجح أنه كان مثبتا كقشرة زخرفية أسفل الكمرات فى سقف ذى تجويفات (مقسم بحنايا). وقد زخرف بتكوينات من العقود متعددة الفصوص المتبادلة، وجامات متداخلة، وزخارف ورقية، نفذت بمجموعة ألوان يغلب عليها الذهبى والأزرق الداكن والعاجى.</t>
        </is>
      </c>
      <c r="I58" s="3" t="inlineStr"/>
      <c r="J58" s="3" t="inlineStr"/>
      <c r="K58" s="3" t="inlineStr">
        <is>
          <t>W: 18 cm, L: 71 cm</t>
        </is>
      </c>
      <c r="L58" s="3" t="inlineStr">
        <is>
          <t>العرض: ١٨ سم، الطول: ٧١ سم</t>
        </is>
      </c>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is>
          <t>https://mia.nadimfoundation.org/q1421</t>
        </is>
      </c>
      <c r="AT58" s="3">
        <f>IMAGE("https://api.qrserver.com/v1/create-qr-code/?size=300x300&amp;margin=8&amp;color=06444C&amp;bgcolor=EAE8D8&amp;data="&amp;ENCODEURL(AS58))</f>
        <v/>
      </c>
      <c r="AU58" s="3" t="inlineStr"/>
      <c r="AV58" s="3" t="inlineStr"/>
      <c r="AW58" s="3" t="inlineStr"/>
      <c r="AX58" s="3" t="inlineStr"/>
      <c r="AY58" s="3" t="inlineStr"/>
      <c r="AZ58" s="3" t="inlineStr">
        <is>
          <t>147</t>
        </is>
      </c>
    </row>
    <row r="59">
      <c r="A59" s="3" t="inlineStr">
        <is>
          <t>6857</t>
        </is>
      </c>
      <c r="B59" s="3" t="inlineStr">
        <is>
          <t>Inv. no. 6857</t>
        </is>
      </c>
      <c r="C59" s="3" t="inlineStr">
        <is>
          <t>Ceiling Panel</t>
        </is>
      </c>
      <c r="D59" s="3" t="inlineStr">
        <is>
          <t>لوح سقفى</t>
        </is>
      </c>
      <c r="E59" s="3" t="inlineStr">
        <is>
          <t>Recovered during an inventory of the holdings in the Museum of Arab Antiquities</t>
        </is>
      </c>
      <c r="F59" s="3" t="inlineStr">
        <is>
          <t>عثر عليه أثناء جرد مقتنيات متحف الآثار العربية</t>
        </is>
      </c>
      <c r="G59" s="3" t="inlineStr">
        <is>
          <t>This elongated panel, probably an underbeam element from a beamed or coffered wooden ceiling, is richly decorated with carved and painted ornament: reciprocal polylobed arches terminating in arabesques flank a central field of cusped cartouches and ogival medallions rendered in a bold, contrasting color palette of dark blue, red, brown, and cream.</t>
        </is>
      </c>
      <c r="H59" s="3" t="inlineStr">
        <is>
          <t>يرجح أن هذا اللوح المستطيل كان جزءا من العناصر التى تثبت أسفل الكمرات فى سقف خشبى ذى تجويفات، وهو غنى بزخارف محفورة وملونة، إذ تمتد على جانبيه عقود متعددة الفصوص المتبادلة تنتهى بزخارف نباتية ملتفة، وتحيط بمجال وسطى يضم خراطيش مفصصة وجامات بيضاوية، نفذت بمجموعة ألوان قوية ومتباينة يغلب عليها الأزرق الداكن والأحمر والبنى والعاجى.</t>
        </is>
      </c>
      <c r="I59" s="3" t="inlineStr"/>
      <c r="J59" s="3" t="inlineStr"/>
      <c r="K59" s="3" t="inlineStr">
        <is>
          <t>W: 19 cm; L: 169 cm</t>
        </is>
      </c>
      <c r="L59" s="3" t="inlineStr">
        <is>
          <t>العرض: ١٩ سم، الطول: ١٦٩ سم</t>
        </is>
      </c>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is>
          <t>https://mia.nadimfoundation.org/q6857</t>
        </is>
      </c>
      <c r="AT59" s="3">
        <f>IMAGE("https://api.qrserver.com/v1/create-qr-code/?size=300x300&amp;margin=8&amp;color=06444C&amp;bgcolor=EAE8D8&amp;data="&amp;ENCODEURL(AS59))</f>
        <v/>
      </c>
      <c r="AU59" s="3" t="inlineStr">
        <is>
          <t>Registered December 8, 1924</t>
        </is>
      </c>
      <c r="AV59" s="3" t="inlineStr">
        <is>
          <t>مسجل بتاريخ ٨ ديسمبر ١٩٢٤</t>
        </is>
      </c>
      <c r="AW59" s="3" t="inlineStr"/>
      <c r="AX59" s="3" t="inlineStr"/>
      <c r="AY59" s="3" t="inlineStr"/>
      <c r="AZ59" s="3" t="inlineStr">
        <is>
          <t>148</t>
        </is>
      </c>
    </row>
    <row r="60">
      <c r="A60" s="3" t="inlineStr">
        <is>
          <t>2602</t>
        </is>
      </c>
      <c r="B60" s="3" t="inlineStr">
        <is>
          <t>Inv. no. 2602</t>
        </is>
      </c>
      <c r="C60" s="3" t="inlineStr">
        <is>
          <t>Ceiling</t>
        </is>
      </c>
      <c r="D60" s="3" t="inlineStr">
        <is>
          <t>سقف</t>
        </is>
      </c>
      <c r="E60" s="3" t="inlineStr">
        <is>
          <t>From a ruin in Darb al-Aqma‘iyya</t>
        </is>
      </c>
      <c r="F60" s="3" t="inlineStr">
        <is>
          <t>من أطلال درب الأقماعية</t>
        </is>
      </c>
      <c r="G60" s="3" t="inlineStr">
        <is>
          <t>Flat wooden ceilings provided an ideal surface for overall designs. Acquired from a site in Darb al-Aqma‘iyya, this example features cruciform motifs formed out of elongated hexagonal battens, octofoils, and circular medallions on a ground of prominent arabesques, with surviving polychromy in blue or green, cream, and red.</t>
        </is>
      </c>
      <c r="H60" s="3" t="inlineStr">
        <is>
          <t>قدم هذا السقف الخشبى نموذجا للأسقف الخشبية ذات التصميم الشامل. وقد انتقيت هذه القطعة من موقع فى درب الأقماعية، تتميز بزخارف صليبية الشكل مكونة من شرائط سداسية طويلة، وزخارف من وريدات ذات ثمانى أوراق، وجامات دائرية على أرضية من الزخارف النباتية البارزة، مع بقاء بعض الألوان المتعددة مثل الأزرق أو الأخضر والعاجى والأحمر.</t>
        </is>
      </c>
      <c r="I60" s="3" t="inlineStr"/>
      <c r="J60" s="3" t="inlineStr"/>
      <c r="K60" s="3" t="inlineStr">
        <is>
          <t>W: 70 cm; L: 120 cm</t>
        </is>
      </c>
      <c r="L60" s="3" t="inlineStr">
        <is>
          <t>العرض: ٧٠ سم، الطول: ١٢٠ سم</t>
        </is>
      </c>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is>
          <t>https://mia.nadimfoundation.org/q2602</t>
        </is>
      </c>
      <c r="AT60" s="3">
        <f>IMAGE("https://api.qrserver.com/v1/create-qr-code/?size=300x300&amp;margin=8&amp;color=06444C&amp;bgcolor=EAE8D8&amp;data="&amp;ENCODEURL(AS60))</f>
        <v/>
      </c>
      <c r="AU60" s="3" t="inlineStr">
        <is>
          <t>Registered November 1899</t>
        </is>
      </c>
      <c r="AV60" s="3" t="inlineStr">
        <is>
          <t>مسجل فى نوفمبر ١٨٩٩</t>
        </is>
      </c>
      <c r="AW60" s="3" t="inlineStr"/>
      <c r="AX60" s="3" t="inlineStr"/>
      <c r="AY60" s="3" t="inlineStr"/>
      <c r="AZ60" s="3" t="inlineStr">
        <is>
          <t>149</t>
        </is>
      </c>
    </row>
    <row r="61">
      <c r="A61" s="3" t="inlineStr">
        <is>
          <t>3484</t>
        </is>
      </c>
      <c r="B61" s="3" t="inlineStr">
        <is>
          <t>Inv. no. 3484</t>
        </is>
      </c>
      <c r="C61" s="3" t="inlineStr">
        <is>
          <t>Ceiling</t>
        </is>
      </c>
      <c r="D61" s="3" t="inlineStr">
        <is>
          <t>سقف</t>
        </is>
      </c>
      <c r="E61" s="3" t="inlineStr">
        <is>
          <t>Recovered from a warehouse of the Ministry of Endowments (Awqaf) in Rashid</t>
        </is>
      </c>
      <c r="F61" s="3" t="inlineStr">
        <is>
          <t>عثر عليها فى مخزن تابع لوزارة الأوقاف فى رشيد</t>
        </is>
      </c>
      <c r="G61" s="3" t="inlineStr">
        <is>
          <t>This wooden ceiling (tablia) from Rashid features a typically Ottoman-period combination of geometric star-patterns, painted with delicate floral motifs, and surrounded by a broad border of alternate Y’s. Constructed in part from Acacia wood, the composition reflects the Ottoman penchant for joinery, rather than solely carving or painting, in ceiling decoration.</t>
        </is>
      </c>
      <c r="H61" s="3" t="inlineStr">
        <is>
          <t>هذا السقف الخشبى من رشيد، والذى يطلق عليه «طبلية»، يتميز بتكوين مألوف وشائع فى العصر العثمانى، يجمع بين زخارف هندسية نجمية ملونة وزخارف نباتية دقيقة يحيط بها شريط عريض من وحدات متعاقبة تعرف بين أرباب الصنعة باسم زخارف الكاسات المتداخلة أو الشمعدانات، واستخدم فى أجزاء منها خشب السنط (الأكاسيا). وتعكس زخارف القطعة ميلا واضحا للتصاميم العثمانية المنتشرة، ومنها الاعتماد على تقنيات النجارة وجمع بين الزخارف فى تزيين الأسقف، بدلا من الاقتصار على الحفر أو الرسم وحدهما.</t>
        </is>
      </c>
      <c r="I61" s="3" t="inlineStr">
        <is>
          <t>Ottoman, 10th-12th centuries AH / 16th-18th centuries CE</t>
        </is>
      </c>
      <c r="J61" s="3" t="inlineStr">
        <is>
          <t>عثمانى، القرن العاشر - القرن الثانى عشر الهجرى / القرن السادس عشر - القرن الثامن عشر الميلادى</t>
        </is>
      </c>
      <c r="K61" s="3" t="inlineStr">
        <is>
          <t>W: 126.4 cm; L: 81 cm</t>
        </is>
      </c>
      <c r="L61" s="3" t="inlineStr">
        <is>
          <t>العرض: ٨١ سم، الطول: ١٢٦٫٤ سم</t>
        </is>
      </c>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is>
          <t>https://mia.nadimfoundation.org/q3484</t>
        </is>
      </c>
      <c r="AT61" s="3">
        <f>IMAGE("https://api.qrserver.com/v1/create-qr-code/?size=300x300&amp;margin=8&amp;color=06444C&amp;bgcolor=EAE8D8&amp;data="&amp;ENCODEURL(AS61))</f>
        <v/>
      </c>
      <c r="AU61" s="3" t="inlineStr">
        <is>
          <t>Registered April 22, 1909</t>
        </is>
      </c>
      <c r="AV61" s="3" t="inlineStr">
        <is>
          <t>سجلت فى ٢٢ أبريل ١٩٠٩</t>
        </is>
      </c>
      <c r="AW61" s="3" t="inlineStr"/>
      <c r="AX61" s="3" t="inlineStr"/>
      <c r="AY61" s="3" t="inlineStr"/>
      <c r="AZ61" s="3" t="inlineStr">
        <is>
          <t>150</t>
        </is>
      </c>
    </row>
    <row r="62">
      <c r="A62" s="3" t="inlineStr">
        <is>
          <t>3485</t>
        </is>
      </c>
      <c r="B62" s="3" t="inlineStr">
        <is>
          <t>Inv. no. 3485</t>
        </is>
      </c>
      <c r="C62" s="3" t="inlineStr">
        <is>
          <t>Ceiling</t>
        </is>
      </c>
      <c r="D62" s="3" t="inlineStr">
        <is>
          <t>سقف</t>
        </is>
      </c>
      <c r="E62" s="3" t="inlineStr">
        <is>
          <t>Recovered from a warehouse of the Ministry of Endowments (Awqaf) in Rashid</t>
        </is>
      </c>
      <c r="F62" s="3" t="inlineStr">
        <is>
          <t>عثر عليها فى مخزن تابع لوزارة الأوقاف فى رشيد</t>
        </is>
      </c>
      <c r="G62" s="3" t="inlineStr">
        <is>
          <t>This tablia (ceiling) from Rashid is similar, though considerably less well-preserved, than No. 3484. Constructed in part from Acacia wood, the design is composed of a geometric star pattern surrounded by a border of alternate Y’s, created by affixing small wooden pieces to the ceiling proper.</t>
        </is>
      </c>
      <c r="H62" s="3" t="inlineStr">
        <is>
          <t>هذا السقف الخشبى من رشيد، ويسمى «طبلية»، يشبه القطعة رقم (٣٤٨٤) وإن كانت حالته أقل حظا بدرجة ملحوظة. استخدم فى أجزاء منه خشب السنط، ويتكون تصميمه من زخرفة هندسية نجمية يحيط بها إطار من وحدات متعاقبة تعرف بين أرباب الصنعة باسم زخارف الكاسات، وقد نفذت الزخرفة من خلال تثبيت قطع خشبية صغيرة مباشرة على ألواح السقف نفسه.</t>
        </is>
      </c>
      <c r="I62" s="3" t="inlineStr">
        <is>
          <t>Ottoman, 10th-12th centuries AH / 16th-18th centuries CE</t>
        </is>
      </c>
      <c r="J62" s="3" t="inlineStr">
        <is>
          <t>عثمانى، القرن العاشر - القرن الثانى عشر الهجرى / القرن السادس عشر - القرن الثامن عشر الميلادى</t>
        </is>
      </c>
      <c r="K62" s="3" t="inlineStr">
        <is>
          <t>W: 82 cm; L: 80 cm</t>
        </is>
      </c>
      <c r="L62" s="3" t="inlineStr">
        <is>
          <t>العرض: ٨٢ سم، الطول: ٨٠ سم</t>
        </is>
      </c>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is>
          <t>https://mia.nadimfoundation.org/q3485</t>
        </is>
      </c>
      <c r="AT62" s="3">
        <f>IMAGE("https://api.qrserver.com/v1/create-qr-code/?size=300x300&amp;margin=8&amp;color=06444C&amp;bgcolor=EAE8D8&amp;data="&amp;ENCODEURL(AS62))</f>
        <v/>
      </c>
      <c r="AU62" s="3" t="inlineStr"/>
      <c r="AV62" s="3" t="inlineStr"/>
      <c r="AW62" s="3" t="inlineStr"/>
      <c r="AX62" s="3" t="inlineStr"/>
      <c r="AY62" s="3" t="inlineStr"/>
      <c r="AZ62" s="3" t="inlineStr">
        <is>
          <t>153</t>
        </is>
      </c>
    </row>
    <row r="63">
      <c r="A63" s="3" t="inlineStr">
        <is>
          <t>4144</t>
        </is>
      </c>
      <c r="B63" s="3" t="inlineStr">
        <is>
          <t>Inv. no. 4144</t>
        </is>
      </c>
      <c r="C63" s="3" t="inlineStr">
        <is>
          <t>Kurdi</t>
        </is>
      </c>
      <c r="D63" s="3" t="inlineStr">
        <is>
          <t>كردى</t>
        </is>
      </c>
      <c r="E63" s="3" t="inlineStr">
        <is>
          <t>From the complex of Sultan Qalawun (683-84 AH / 1284-85 CE)</t>
        </is>
      </c>
      <c r="F63" s="3" t="inlineStr">
        <is>
          <t>من مجمع السلطان قلاوون (٦٨٣-٦٨٤ هـ / ١٢٨٤-١٢٨٥ م)</t>
        </is>
      </c>
      <c r="G63" s="3" t="inlineStr">
        <is>
          <t>Traditionally known a rigl al-kurdi (“leg of the kurdi”), these pieces represent the vertical element of the kurdi, typically the decorated underside of a lintel separating two areas, which terminates in a muqarnas stalactite followed by a blind arch. The muqarnas may either be carved from one or more solid blocks of wood or composed of numerous pieces cut at angles to form a stalactite running in the longitudinal direction. Kurdis of this type frequently formed part of iwan arches and gained prominence in Cairene architecture during the late 14th and 15th centuries, continuing into the Ottoman and Khedival periods. The present examples are attributed to Sultan Qalawun’s complex on al-Mu‘izz St. (683-84 AH / 1284-85 CE) on the basis of their provenance; if correct, this would place them well over a century before the period in which the type is generally thought to have flourished. Their origins consequently remain a matter for further investigation.</t>
        </is>
      </c>
      <c r="H63" s="3" t="inlineStr">
        <is>
          <t>عرفت هذه القطع باسم «رجل الكردى»، وهى الجزء المستقيم من الكردى، الذى يشغل عادة الجانب السفلى المزخرف للعتب الفاصل بين منطقتين، وتنتهى حافته السفلية بمقرنصات أسفلها عقد مصمت. وقد نحتت هذه المقرنصات، إما من كتلة خشبية صلبة واحدة أو أكثر، أو جاءت مؤلفة من قطع مختلفة، جمعت بزوايا دقيقة، لتشكل تلك المقرنصات الممتدة فى الاتجاه الطولى. وكثيرا ما شكلت الكرادى من هذا النوع جزءا من عقود الإيوانات، وقد نالت حضورا لافتا فى عمارة القاهرة منذ أواخر القرن الرابع عشر والقرن الخامس عشر، حتى استمر استخدامها خلال العصرين العثمانى والخديوى. ينسب سجل المتحف الرسمى تلك القطع إلى مجمع السلطان قلاوون بشارع المعز (٦٨٣-٦٨٤ هـ / ١٢٨٤-١٢٨٥ م)، إلا أن العلاقة بين هذه القطع والأعمال الخشبية الأخرى المتبقية فى المجمع، وكذلك المسألة الأشمل المتعلقة بالتطور المبكر للكردى، تظل مطروحة لمزيد من البحث والتقصى.</t>
        </is>
      </c>
      <c r="I63" s="3" t="inlineStr"/>
      <c r="J63" s="3" t="inlineStr"/>
      <c r="K63" s="3" t="inlineStr">
        <is>
          <t>74 - W: 25.7 cm; H: 230.8 cm
75 - W: 20.6 cm; H: 166.5 cm</t>
        </is>
      </c>
      <c r="L63" s="3" t="inlineStr">
        <is>
          <t>٧٤ - العرض: ٢٥٫٧ سم، الطول: ٢٣٠٫٨ سم
٧٥ - العرض: ٢٠٫٦ سم، الطول: ١٦٦٫٥ سم</t>
        </is>
      </c>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is>
          <t>https://mia.nadimfoundation.org/q4144</t>
        </is>
      </c>
      <c r="AT63" s="3">
        <f>IMAGE("https://api.qrserver.com/v1/create-qr-code/?size=300x300&amp;margin=8&amp;color=06444C&amp;bgcolor=EAE8D8&amp;data="&amp;ENCODEURL(AS63))</f>
        <v/>
      </c>
      <c r="AU63" s="3" t="inlineStr"/>
      <c r="AV63" s="3" t="inlineStr"/>
      <c r="AW63" s="3" t="inlineStr"/>
      <c r="AX63" s="3" t="inlineStr"/>
      <c r="AY63" s="3" t="inlineStr"/>
      <c r="AZ63" s="3" t="inlineStr">
        <is>
          <t>154</t>
        </is>
      </c>
    </row>
    <row r="64">
      <c r="A64" s="3" t="inlineStr">
        <is>
          <t>6120-6</t>
        </is>
      </c>
      <c r="B64" s="3" t="inlineStr">
        <is>
          <t>Inv. no. 6120/6</t>
        </is>
      </c>
      <c r="C64" s="3" t="inlineStr">
        <is>
          <t>Mirror</t>
        </is>
      </c>
      <c r="D64" s="3" t="inlineStr">
        <is>
          <t>مرآة</t>
        </is>
      </c>
      <c r="E64" s="3" t="inlineStr"/>
      <c r="F64" s="3" t="inlineStr"/>
      <c r="G64" s="3" t="inlineStr">
        <is>
          <t>Convex mirror set within a rounded wooden frame with a small handle at the back; used to make images appear smaller. It was donated alongside Nos. 6120/2, 4-5, by the Makufiyas brothers. Though its findspot remains unknown, its grouping with a set of single-sided combs hints at the lived domestic context these objects once shared.</t>
        </is>
      </c>
      <c r="H64" s="3" t="inlineStr">
        <is>
          <t>تجعل صورة الناظر إليها تبدو أصغر. أهديت هذه القطعة، إلى جانب القطع أرقام ٦١٢٠/٢، ٤-٥، من قبل الإخوة مكوفياس. وعلى الرغم من أن موقع اكتشافها لا يزال مجهولا، إلا أن وجودها ضمن مجموعة من الأمشاط ذات الأسنان من جهة واحدة يلمح إلى السياق المعيشى المنزلى الذى جمع هذه القطع يوما ما.</t>
        </is>
      </c>
      <c r="I64" s="3" t="inlineStr"/>
      <c r="J64" s="3" t="inlineStr"/>
      <c r="K64" s="3" t="inlineStr">
        <is>
          <t>D: 6.6 cm</t>
        </is>
      </c>
      <c r="L64" s="3" t="inlineStr">
        <is>
          <t>القطر: ٤٫٣ سم</t>
        </is>
      </c>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is>
          <t>https://mia.nadimfoundation.org/q6120-6</t>
        </is>
      </c>
      <c r="AT64" s="3">
        <f>IMAGE("https://api.qrserver.com/v1/create-qr-code/?size=300x300&amp;margin=8&amp;color=06444C&amp;bgcolor=EAE8D8&amp;data="&amp;ENCODEURL(AS64))</f>
        <v/>
      </c>
      <c r="AU64" s="3" t="inlineStr">
        <is>
          <t>Registered June 7, 1922</t>
        </is>
      </c>
      <c r="AV64" s="3" t="inlineStr">
        <is>
          <t>سجل فى ٧ يونيو ١٩٢٢</t>
        </is>
      </c>
      <c r="AW64" s="3" t="inlineStr">
        <is>
          <t>Purchased from the Makufiyas Brothers</t>
        </is>
      </c>
      <c r="AX64" s="3" t="inlineStr">
        <is>
          <t>مشتراة من الإخوة مكوفياس</t>
        </is>
      </c>
      <c r="AY64" s="3" t="inlineStr"/>
      <c r="AZ64" s="3" t="inlineStr">
        <is>
          <t>175</t>
        </is>
      </c>
    </row>
    <row r="65">
      <c r="A65" s="3" t="inlineStr">
        <is>
          <t>6120-4</t>
        </is>
      </c>
      <c r="B65" s="3" t="inlineStr">
        <is>
          <t>Inv. no. 6120/4</t>
        </is>
      </c>
      <c r="C65" s="3" t="inlineStr">
        <is>
          <t>Single-Sided Comb</t>
        </is>
      </c>
      <c r="D65" s="3" t="inlineStr">
        <is>
          <t>مشط ذو أسنان من جانب واحد</t>
        </is>
      </c>
      <c r="E65" s="3" t="inlineStr"/>
      <c r="F65" s="3" t="inlineStr"/>
      <c r="G65" s="3" t="inlineStr">
        <is>
          <t>Single-sided wooden comb with teeth on one side, and a triangular handle with a small hole through it, likely for hanging.</t>
        </is>
      </c>
      <c r="H65" s="3" t="inlineStr">
        <is>
          <t>مشط خشبى بأسنان من جهة واحدة، مع مقبض مثلث الشكل يتوسطه ثقب صغير، يرجح أنه كان يستخدم للتعليق.</t>
        </is>
      </c>
      <c r="I65" s="3" t="inlineStr"/>
      <c r="J65" s="3" t="inlineStr"/>
      <c r="K65" s="3" t="inlineStr">
        <is>
          <t>W: 3.3 cm; H: 3.3 cm</t>
        </is>
      </c>
      <c r="L65" s="3" t="inlineStr">
        <is>
          <t>العرض: ٣,٣ سم، الطول: ٣,٣ سم</t>
        </is>
      </c>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is>
          <t>https://mia.nadimfoundation.org/q6120-4</t>
        </is>
      </c>
      <c r="AT65" s="3">
        <f>IMAGE("https://api.qrserver.com/v1/create-qr-code/?size=300x300&amp;margin=8&amp;color=06444C&amp;bgcolor=EAE8D8&amp;data="&amp;ENCODEURL(AS65))</f>
        <v/>
      </c>
      <c r="AU65" s="3" t="inlineStr">
        <is>
          <t>Registered June 7, 1922</t>
        </is>
      </c>
      <c r="AV65" s="3" t="inlineStr">
        <is>
          <t>سجل فى ٧ يونيو، ١٩٢٢</t>
        </is>
      </c>
      <c r="AW65" s="3" t="inlineStr">
        <is>
          <t>Purchased from the Makufiyas Brothers</t>
        </is>
      </c>
      <c r="AX65" s="3" t="inlineStr">
        <is>
          <t>مشترى من الإخوة مكوفياس</t>
        </is>
      </c>
      <c r="AY65" s="3" t="inlineStr"/>
      <c r="AZ65" s="3" t="inlineStr">
        <is>
          <t>176</t>
        </is>
      </c>
    </row>
    <row r="66">
      <c r="A66" s="3" t="inlineStr">
        <is>
          <t>6120-5</t>
        </is>
      </c>
      <c r="B66" s="3" t="inlineStr">
        <is>
          <t>Inv. no. 6120/5</t>
        </is>
      </c>
      <c r="C66" s="3" t="inlineStr">
        <is>
          <t>Single-Sided Comb</t>
        </is>
      </c>
      <c r="D66" s="3" t="inlineStr">
        <is>
          <t>مشط ذو أسنان من جانب واحد</t>
        </is>
      </c>
      <c r="E66" s="3" t="inlineStr"/>
      <c r="F66" s="3" t="inlineStr"/>
      <c r="G66" s="3" t="inlineStr">
        <is>
          <t>Tortoiseshell comb, with partially-preserved teeth on one side.</t>
        </is>
      </c>
      <c r="H66" s="3" t="inlineStr">
        <is>
          <t>مشط مصنوع من صدف السلحفاة، محتفظا ببعض أسنانه من جانب واحد.</t>
        </is>
      </c>
      <c r="I66" s="3" t="inlineStr"/>
      <c r="J66" s="3" t="inlineStr"/>
      <c r="K66" s="3" t="inlineStr">
        <is>
          <t>W: 6.55 cm, H: 6.4 cm</t>
        </is>
      </c>
      <c r="L66" s="3" t="inlineStr">
        <is>
          <t>العرض: ٤٫٢ سم، الطول: ٤٫٤ سم</t>
        </is>
      </c>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is>
          <t>https://mia.nadimfoundation.org/q6120-5</t>
        </is>
      </c>
      <c r="AT66" s="3">
        <f>IMAGE("https://api.qrserver.com/v1/create-qr-code/?size=300x300&amp;margin=8&amp;color=06444C&amp;bgcolor=EAE8D8&amp;data="&amp;ENCODEURL(AS66))</f>
        <v/>
      </c>
      <c r="AU66" s="3" t="inlineStr">
        <is>
          <t>Registered June 7, 1922</t>
        </is>
      </c>
      <c r="AV66" s="3" t="inlineStr">
        <is>
          <t>سجل فى ٧ يونيو، ١٩٢٢</t>
        </is>
      </c>
      <c r="AW66" s="3" t="inlineStr">
        <is>
          <t>Purchased from the Makufiyas Brothers</t>
        </is>
      </c>
      <c r="AX66" s="3" t="inlineStr">
        <is>
          <t>مشترى من الإخوة مكوفياس</t>
        </is>
      </c>
      <c r="AY66" s="3" t="inlineStr"/>
      <c r="AZ66" s="3" t="inlineStr">
        <is>
          <t>176</t>
        </is>
      </c>
    </row>
    <row r="67">
      <c r="A67" s="3" t="inlineStr">
        <is>
          <t>18858-1</t>
        </is>
      </c>
      <c r="B67" s="3" t="inlineStr">
        <is>
          <t>Inv. no. 18858/1</t>
        </is>
      </c>
      <c r="C67" s="3" t="inlineStr">
        <is>
          <t>Single-Sided Comb</t>
        </is>
      </c>
      <c r="D67" s="3" t="inlineStr">
        <is>
          <t>مشط ذو أسنان من جانب واحد</t>
        </is>
      </c>
      <c r="E67" s="3" t="inlineStr"/>
      <c r="F67" s="3" t="inlineStr"/>
      <c r="G67" s="3" t="inlineStr">
        <is>
          <t>Wooden comb with teeth on one side and a pointed arched handle on the other. Decorated with a central medallion of nestled rings, with two flanking medallions composed of ring-and-dot motifs with outward-facing pointed finials.</t>
        </is>
      </c>
      <c r="H67" s="3" t="inlineStr">
        <is>
          <t>مشط خشبى يحتفظ بهيئته، بأسنان على جانب واحد، ومقبض مقوس مدبب على الجانب الآخر، يتزين بجامة مركزية مؤلفة من حلقات متداخلة، تحف بها جامتان جانبيتان تتكونان من زخارف الحلقة والنقطة، تعلوهما نهايات مدببة متجهة إلى الخارج.</t>
        </is>
      </c>
      <c r="I67" s="3" t="inlineStr"/>
      <c r="J67" s="3" t="inlineStr"/>
      <c r="K67" s="3" t="inlineStr">
        <is>
          <t>W: 7.8 cm; H: 7.4 cm</t>
        </is>
      </c>
      <c r="L67" s="3" t="inlineStr">
        <is>
          <t>العرض: ٧٫٨ سم، الطول: ٧٫٤ سم</t>
        </is>
      </c>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is>
          <t>https://mia.nadimfoundation.org/q18858-1</t>
        </is>
      </c>
      <c r="AT67" s="3">
        <f>IMAGE("https://api.qrserver.com/v1/create-qr-code/?size=300x300&amp;margin=8&amp;color=06444C&amp;bgcolor=EAE8D8&amp;data="&amp;ENCODEURL(AS67))</f>
        <v/>
      </c>
      <c r="AU67" s="3" t="inlineStr">
        <is>
          <t>Registered March 9, 1957</t>
        </is>
      </c>
      <c r="AV67" s="3" t="inlineStr">
        <is>
          <t>سجل فى ٩ مارس ١٩٥٧</t>
        </is>
      </c>
      <c r="AW67" s="3" t="inlineStr">
        <is>
          <t>Submitted by Dr. Muhammad Mustafa</t>
        </is>
      </c>
      <c r="AX67" s="3" t="inlineStr">
        <is>
          <t>مقدم من الدكتور محمد مصطفى</t>
        </is>
      </c>
      <c r="AY67" s="3" t="inlineStr"/>
      <c r="AZ67" s="3" t="inlineStr">
        <is>
          <t>177</t>
        </is>
      </c>
    </row>
    <row r="68">
      <c r="A68" s="3" t="inlineStr">
        <is>
          <t>18858-2</t>
        </is>
      </c>
      <c r="B68" s="3" t="inlineStr">
        <is>
          <t>Inv. no. 18858/2</t>
        </is>
      </c>
      <c r="C68" s="3" t="inlineStr">
        <is>
          <t>Single-Sided Comb</t>
        </is>
      </c>
      <c r="D68" s="3" t="inlineStr">
        <is>
          <t>مشط ذو أسنان من جانب واحد</t>
        </is>
      </c>
      <c r="E68" s="3" t="inlineStr"/>
      <c r="F68" s="3" t="inlineStr"/>
      <c r="G68" s="3" t="inlineStr">
        <is>
          <t>A collection of undecorated combs, all single-sided, with a variety of handle shapes. Some contain small holes at their apex, likely for hanging.</t>
        </is>
      </c>
      <c r="H68" s="3" t="inlineStr">
        <is>
          <t>مجموعة من الأمشاط غير مزينة، بأسنان على جانب واحد، وتتنوع أشكال مقابضها، حيث يحتوى بعضها على ثقوب صغيرة عند القمة يرجح أنها كانت تستخدم للتعليق.</t>
        </is>
      </c>
      <c r="I68" s="3" t="inlineStr"/>
      <c r="J68" s="3" t="inlineStr"/>
      <c r="K68" s="3" t="inlineStr">
        <is>
          <t>W: 6.5 cm; H: 8.7 cm</t>
        </is>
      </c>
      <c r="L68" s="3" t="inlineStr">
        <is>
          <t>العرض: ٦٫٥ سم، الطول: ٨٫٧ سم</t>
        </is>
      </c>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is>
          <t>https://mia.nadimfoundation.org/q18858-2</t>
        </is>
      </c>
      <c r="AT68" s="3">
        <f>IMAGE("https://api.qrserver.com/v1/create-qr-code/?size=300x300&amp;margin=8&amp;color=06444C&amp;bgcolor=EAE8D8&amp;data="&amp;ENCODEURL(AS68))</f>
        <v/>
      </c>
      <c r="AU68" s="3" t="inlineStr">
        <is>
          <t>Registered March 9, 1957</t>
        </is>
      </c>
      <c r="AV68" s="3" t="inlineStr">
        <is>
          <t>سجلت فى ٩ مارس ١٩٥٧</t>
        </is>
      </c>
      <c r="AW68" s="3" t="inlineStr">
        <is>
          <t>Submitted by Dr. Muhammad Mustafa</t>
        </is>
      </c>
      <c r="AX68" s="3" t="inlineStr">
        <is>
          <t>مقدمة من الدكتور محمد مصطفى</t>
        </is>
      </c>
      <c r="AY68" s="3" t="inlineStr">
        <is>
          <t>83</t>
        </is>
      </c>
      <c r="AZ68" s="3" t="inlineStr">
        <is>
          <t>178</t>
        </is>
      </c>
    </row>
    <row r="69">
      <c r="A69" s="3" t="inlineStr">
        <is>
          <t>18858-3</t>
        </is>
      </c>
      <c r="B69" s="3" t="inlineStr">
        <is>
          <t>Inv. no. 18858/3</t>
        </is>
      </c>
      <c r="C69" s="3" t="inlineStr">
        <is>
          <t>Single-Sided Comb</t>
        </is>
      </c>
      <c r="D69" s="3" t="inlineStr">
        <is>
          <t>مشط ذو أسنان من جانب واحد</t>
        </is>
      </c>
      <c r="E69" s="3" t="inlineStr"/>
      <c r="F69" s="3" t="inlineStr"/>
      <c r="G69" s="3" t="inlineStr">
        <is>
          <t>A collection of undecorated combs, all single-sided, with a variety of handle shapes. Some contain small holes at their apex, likely for hanging.</t>
        </is>
      </c>
      <c r="H69" s="3" t="inlineStr">
        <is>
          <t>مجموعة من الأمشاط غير مزينة، بأسنان على جانب واحد، وتتنوع أشكال مقابضها، حيث يحتوى بعضها على ثقوب صغيرة عند القمة يرجح أنها كانت تستخدم للتعليق.</t>
        </is>
      </c>
      <c r="I69" s="3" t="inlineStr"/>
      <c r="J69" s="3" t="inlineStr"/>
      <c r="K69" s="3" t="inlineStr">
        <is>
          <t>W: 4.6 cm; H: 4.9 cm</t>
        </is>
      </c>
      <c r="L69" s="3" t="inlineStr">
        <is>
          <t>العرض: ٤٫٦ سم، الطول: ٤٫٩ سم</t>
        </is>
      </c>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is>
          <t>https://mia.nadimfoundation.org/q18858-3</t>
        </is>
      </c>
      <c r="AT69" s="3">
        <f>IMAGE("https://api.qrserver.com/v1/create-qr-code/?size=300x300&amp;margin=8&amp;color=06444C&amp;bgcolor=EAE8D8&amp;data="&amp;ENCODEURL(AS69))</f>
        <v/>
      </c>
      <c r="AU69" s="3" t="inlineStr">
        <is>
          <t>Registered March 9, 1957</t>
        </is>
      </c>
      <c r="AV69" s="3" t="inlineStr">
        <is>
          <t>سجلت فى ٩ مارس ١٩٥٧</t>
        </is>
      </c>
      <c r="AW69" s="3" t="inlineStr">
        <is>
          <t>Submitted by Dr. Muhammad Mustafa</t>
        </is>
      </c>
      <c r="AX69" s="3" t="inlineStr">
        <is>
          <t>مقدمة من الدكتور محمد مصطفى</t>
        </is>
      </c>
      <c r="AY69" s="3" t="inlineStr">
        <is>
          <t>84</t>
        </is>
      </c>
      <c r="AZ69" s="3" t="inlineStr">
        <is>
          <t>178</t>
        </is>
      </c>
    </row>
    <row r="70">
      <c r="A70" s="3" t="inlineStr">
        <is>
          <t>18858-4</t>
        </is>
      </c>
      <c r="B70" s="3" t="inlineStr">
        <is>
          <t>Inv. no. 18858/4</t>
        </is>
      </c>
      <c r="C70" s="3" t="inlineStr">
        <is>
          <t>Single-Sided Comb</t>
        </is>
      </c>
      <c r="D70" s="3" t="inlineStr">
        <is>
          <t>مشط ذو أسنان من جانب واحد</t>
        </is>
      </c>
      <c r="E70" s="3" t="inlineStr"/>
      <c r="F70" s="3" t="inlineStr"/>
      <c r="G70" s="3" t="inlineStr">
        <is>
          <t>A collection of undecorated combs, all single-sided, with a variety of handle shapes. Some contain small holes at their apex, likely for hanging.</t>
        </is>
      </c>
      <c r="H70" s="3" t="inlineStr">
        <is>
          <t>مجموعة من الأمشاط غير مزينة، بأسنان على جانب واحد، وتتنوع أشكال مقابضها، حيث يحتوى بعضها على ثقوب صغيرة عند القمة يرجح أنها كانت تستخدم للتعليق.</t>
        </is>
      </c>
      <c r="I70" s="3" t="inlineStr"/>
      <c r="J70" s="3" t="inlineStr"/>
      <c r="K70" s="3" t="inlineStr">
        <is>
          <t>W: 6 cm; H: 6.8 cm</t>
        </is>
      </c>
      <c r="L70" s="3" t="inlineStr">
        <is>
          <t>العرض: ٦ سم، الطول: ٦٫٨ سم</t>
        </is>
      </c>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is>
          <t>https://mia.nadimfoundation.org/q18858-4</t>
        </is>
      </c>
      <c r="AT70" s="3">
        <f>IMAGE("https://api.qrserver.com/v1/create-qr-code/?size=300x300&amp;margin=8&amp;color=06444C&amp;bgcolor=EAE8D8&amp;data="&amp;ENCODEURL(AS70))</f>
        <v/>
      </c>
      <c r="AU70" s="3" t="inlineStr">
        <is>
          <t>Registered March 9, 1957</t>
        </is>
      </c>
      <c r="AV70" s="3" t="inlineStr">
        <is>
          <t>سجلت فى ٩ مارس ١٩٥٧</t>
        </is>
      </c>
      <c r="AW70" s="3" t="inlineStr">
        <is>
          <t>Submitted by Dr. Muhammad Mustafa</t>
        </is>
      </c>
      <c r="AX70" s="3" t="inlineStr">
        <is>
          <t>مقدمة من الدكتور محمد مصطفى</t>
        </is>
      </c>
      <c r="AY70" s="3" t="inlineStr">
        <is>
          <t>85</t>
        </is>
      </c>
      <c r="AZ70" s="3" t="inlineStr">
        <is>
          <t>178</t>
        </is>
      </c>
    </row>
    <row r="71">
      <c r="A71" s="3" t="inlineStr">
        <is>
          <t>18858-6</t>
        </is>
      </c>
      <c r="B71" s="3" t="inlineStr">
        <is>
          <t>Inv. no. 18858/6</t>
        </is>
      </c>
      <c r="C71" s="3" t="inlineStr">
        <is>
          <t>Single-Sided Comb</t>
        </is>
      </c>
      <c r="D71" s="3" t="inlineStr">
        <is>
          <t>مشط ذو أسنان من جانب واحد</t>
        </is>
      </c>
      <c r="E71" s="3" t="inlineStr"/>
      <c r="F71" s="3" t="inlineStr"/>
      <c r="G71" s="3" t="inlineStr">
        <is>
          <t>A collection of undecorated combs, all single-sided, with a variety of handle shapes. Some contain small holes at their apex, likely for hanging.</t>
        </is>
      </c>
      <c r="H71" s="3" t="inlineStr">
        <is>
          <t>مجموعة من الأمشاط غير مزينة، بأسنان على جانب واحد، وتتنوع أشكال مقابضها، حيث يحتوى بعضها على ثقوب صغيرة عند القمة يرجح أنها كانت تستخدم للتعليق.</t>
        </is>
      </c>
      <c r="I71" s="3" t="inlineStr"/>
      <c r="J71" s="3" t="inlineStr"/>
      <c r="K71" s="3" t="inlineStr">
        <is>
          <t>W: 6.2 cm; H: 6 cm</t>
        </is>
      </c>
      <c r="L71" s="3" t="inlineStr">
        <is>
          <t>العرض: ٦٫٢ سم، الطول: ٦ سم</t>
        </is>
      </c>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is>
          <t>https://mia.nadimfoundation.org/q18858-6</t>
        </is>
      </c>
      <c r="AT71" s="3">
        <f>IMAGE("https://api.qrserver.com/v1/create-qr-code/?size=300x300&amp;margin=8&amp;color=06444C&amp;bgcolor=EAE8D8&amp;data="&amp;ENCODEURL(AS71))</f>
        <v/>
      </c>
      <c r="AU71" s="3" t="inlineStr">
        <is>
          <t>Registered March 9, 1957</t>
        </is>
      </c>
      <c r="AV71" s="3" t="inlineStr">
        <is>
          <t>سجلت فى ٩ مارس ١٩٥٧</t>
        </is>
      </c>
      <c r="AW71" s="3" t="inlineStr">
        <is>
          <t>Submitted by Dr. Muhammad Mustafa</t>
        </is>
      </c>
      <c r="AX71" s="3" t="inlineStr">
        <is>
          <t>مقدمة من الدكتور محمد مصطفى</t>
        </is>
      </c>
      <c r="AY71" s="3" t="inlineStr">
        <is>
          <t>86</t>
        </is>
      </c>
      <c r="AZ71" s="3" t="inlineStr">
        <is>
          <t>178</t>
        </is>
      </c>
    </row>
    <row r="72">
      <c r="A72" s="3" t="inlineStr">
        <is>
          <t>18858-7</t>
        </is>
      </c>
      <c r="B72" s="3" t="inlineStr">
        <is>
          <t>Inv. no. 18858/7</t>
        </is>
      </c>
      <c r="C72" s="3" t="inlineStr">
        <is>
          <t>Single-Sided Comb</t>
        </is>
      </c>
      <c r="D72" s="3" t="inlineStr">
        <is>
          <t>مشط ذو أسنان من جانب واحد</t>
        </is>
      </c>
      <c r="E72" s="3" t="inlineStr"/>
      <c r="F72" s="3" t="inlineStr"/>
      <c r="G72" s="3" t="inlineStr">
        <is>
          <t>A collection of undecorated combs, all single-sided, with a variety of handle shapes. Some contain small holes at their apex, likely for hanging.</t>
        </is>
      </c>
      <c r="H72" s="3" t="inlineStr">
        <is>
          <t>مجموعة من الأمشاط غير مزينة، بأسنان على جانب واحد، وتتنوع أشكال مقابضها، حيث يحتوى بعضها على ثقوب صغيرة عند القمة يرجح أنها كانت تستخدم للتعليق.</t>
        </is>
      </c>
      <c r="I72" s="3" t="inlineStr"/>
      <c r="J72" s="3" t="inlineStr"/>
      <c r="K72" s="3" t="inlineStr">
        <is>
          <t>W: 6.3 cm; H: 7.5 cm</t>
        </is>
      </c>
      <c r="L72" s="3" t="inlineStr">
        <is>
          <t>العرض: ٦٫٣ سم، الطول: ٧٫٥ سم</t>
        </is>
      </c>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is>
          <t>https://mia.nadimfoundation.org/q18858-7</t>
        </is>
      </c>
      <c r="AT72" s="3">
        <f>IMAGE("https://api.qrserver.com/v1/create-qr-code/?size=300x300&amp;margin=8&amp;color=06444C&amp;bgcolor=EAE8D8&amp;data="&amp;ENCODEURL(AS72))</f>
        <v/>
      </c>
      <c r="AU72" s="3" t="inlineStr">
        <is>
          <t>Registered March 9, 1957</t>
        </is>
      </c>
      <c r="AV72" s="3" t="inlineStr">
        <is>
          <t>سجلت فى ٩ مارس ١٩٥٧</t>
        </is>
      </c>
      <c r="AW72" s="3" t="inlineStr">
        <is>
          <t>Submitted by Dr. Muhammad Mustafa</t>
        </is>
      </c>
      <c r="AX72" s="3" t="inlineStr">
        <is>
          <t>مقدمة من الدكتور محمد مصطفى</t>
        </is>
      </c>
      <c r="AY72" s="3" t="inlineStr">
        <is>
          <t>87</t>
        </is>
      </c>
      <c r="AZ72" s="3" t="inlineStr">
        <is>
          <t>178</t>
        </is>
      </c>
    </row>
    <row r="73">
      <c r="A73" s="3" t="inlineStr">
        <is>
          <t>18858-8</t>
        </is>
      </c>
      <c r="B73" s="3" t="inlineStr">
        <is>
          <t>Inv. no. 18858/8</t>
        </is>
      </c>
      <c r="C73" s="3" t="inlineStr">
        <is>
          <t>Single-Sided Comb</t>
        </is>
      </c>
      <c r="D73" s="3" t="inlineStr">
        <is>
          <t>مشط ذو أسنان من جانب واحد</t>
        </is>
      </c>
      <c r="E73" s="3" t="inlineStr"/>
      <c r="F73" s="3" t="inlineStr"/>
      <c r="G73" s="3" t="inlineStr">
        <is>
          <t>A collection of undecorated combs, all single-sided, with a variety of handle shapes. Some contain small holes at their apex, likely for hanging.</t>
        </is>
      </c>
      <c r="H73" s="3" t="inlineStr">
        <is>
          <t>مجموعة من الأمشاط غير مزينة، بأسنان على جانب واحد، وتتنوع أشكال مقابضها، حيث يحتوى بعضها على ثقوب صغيرة عند القمة يرجح أنها كانت تستخدم للتعليق.</t>
        </is>
      </c>
      <c r="I73" s="3" t="inlineStr"/>
      <c r="J73" s="3" t="inlineStr"/>
      <c r="K73" s="3" t="inlineStr">
        <is>
          <t>W: 5.9 cm; H: 7.2 cm</t>
        </is>
      </c>
      <c r="L73" s="3" t="inlineStr">
        <is>
          <t>العرض: ٥٫٩ سم، الطول: ٧٫٢ سم</t>
        </is>
      </c>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is>
          <t>https://mia.nadimfoundation.org/q18858-8</t>
        </is>
      </c>
      <c r="AT73" s="3">
        <f>IMAGE("https://api.qrserver.com/v1/create-qr-code/?size=300x300&amp;margin=8&amp;color=06444C&amp;bgcolor=EAE8D8&amp;data="&amp;ENCODEURL(AS73))</f>
        <v/>
      </c>
      <c r="AU73" s="3" t="inlineStr">
        <is>
          <t>Registered March 9, 1957</t>
        </is>
      </c>
      <c r="AV73" s="3" t="inlineStr">
        <is>
          <t>سجلت فى ٩ مارس ١٩٥٧</t>
        </is>
      </c>
      <c r="AW73" s="3" t="inlineStr">
        <is>
          <t>Submitted by Dr. Muhammad Mustafa</t>
        </is>
      </c>
      <c r="AX73" s="3" t="inlineStr">
        <is>
          <t>مقدمة من الدكتور محمد مصطفى</t>
        </is>
      </c>
      <c r="AY73" s="3" t="inlineStr">
        <is>
          <t>88</t>
        </is>
      </c>
      <c r="AZ73" s="3" t="inlineStr">
        <is>
          <t>178</t>
        </is>
      </c>
    </row>
    <row r="74">
      <c r="A74" s="3" t="inlineStr">
        <is>
          <t>21619-1</t>
        </is>
      </c>
      <c r="B74" s="3" t="inlineStr">
        <is>
          <t>Inv. no. 21619/1</t>
        </is>
      </c>
      <c r="C74" s="3" t="inlineStr">
        <is>
          <t>Single-Sided Comb</t>
        </is>
      </c>
      <c r="D74" s="3" t="inlineStr">
        <is>
          <t>مشط ذو أسنان من جانب واحد</t>
        </is>
      </c>
      <c r="E74" s="3" t="inlineStr"/>
      <c r="F74" s="3" t="inlineStr"/>
      <c r="G74" s="3" t="inlineStr">
        <is>
          <t>Three single-sided combs of similar size, all with simple incised marginal lines marking the boundary between teeth and handle. Some contain holes at their apex, likely intended for hanging.</t>
        </is>
      </c>
      <c r="H74" s="3" t="inlineStr">
        <is>
          <t>ثلاثة أمشاط ذات أسنان من ناحية واحدة ومتقاربة الأحجام، تتحدد معالمها بخطوط هامشية محفورة تفصل بين الأسنان والمقابض، ويحتوى بعضها على ثقوب عند القمة، يرجح أنها كانت تستخدم للتعليق.</t>
        </is>
      </c>
      <c r="I74" s="3" t="inlineStr"/>
      <c r="J74" s="3" t="inlineStr"/>
      <c r="K74" s="3" t="inlineStr">
        <is>
          <t>W: 4.8 cm; H: 6.5 cm</t>
        </is>
      </c>
      <c r="L74" s="3" t="inlineStr">
        <is>
          <t>العرض: ٤٫٨ سم، الطول: ٦٫٥ سم</t>
        </is>
      </c>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is>
          <t>https://mia.nadimfoundation.org/q21619-1</t>
        </is>
      </c>
      <c r="AT74" s="3">
        <f>IMAGE("https://api.qrserver.com/v1/create-qr-code/?size=300x300&amp;margin=8&amp;color=06444C&amp;bgcolor=EAE8D8&amp;data="&amp;ENCODEURL(AS74))</f>
        <v/>
      </c>
      <c r="AU74" s="3" t="inlineStr">
        <is>
          <t>Registered April 28, 1960</t>
        </is>
      </c>
      <c r="AV74" s="3" t="inlineStr">
        <is>
          <t>سجلت فى ٢٨ أبريل ١٩٦٠</t>
        </is>
      </c>
      <c r="AW74" s="3" t="inlineStr"/>
      <c r="AX74" s="3" t="inlineStr"/>
      <c r="AY74" s="3" t="inlineStr">
        <is>
          <t>89</t>
        </is>
      </c>
      <c r="AZ74" s="3" t="inlineStr">
        <is>
          <t>182</t>
        </is>
      </c>
    </row>
    <row r="75">
      <c r="A75" s="3" t="inlineStr">
        <is>
          <t>21619-2</t>
        </is>
      </c>
      <c r="B75" s="3" t="inlineStr">
        <is>
          <t>Inv. no. 21619/2</t>
        </is>
      </c>
      <c r="C75" s="3" t="inlineStr">
        <is>
          <t>Single-Sided Comb</t>
        </is>
      </c>
      <c r="D75" s="3" t="inlineStr">
        <is>
          <t>مشط ذو أسنان من جانب واحد</t>
        </is>
      </c>
      <c r="E75" s="3" t="inlineStr"/>
      <c r="F75" s="3" t="inlineStr"/>
      <c r="G75" s="3" t="inlineStr">
        <is>
          <t>Three single-sided combs of similar size, all with simple incised marginal lines marking the boundary between teeth and handle. Some contain holes at their apex, likely intended for hanging.</t>
        </is>
      </c>
      <c r="H75" s="3" t="inlineStr">
        <is>
          <t>ثلاثة أمشاط ذات أسنان من ناحية واحدة ومتقاربة الأحجام، تتحدد معالمها بخطوط هامشية محفورة تفصل بين الأسنان والمقابض، ويحتوى بعضها على ثقوب عند القمة، يرجح أنها كانت تستخدم للتعليق.</t>
        </is>
      </c>
      <c r="I75" s="3" t="inlineStr"/>
      <c r="J75" s="3" t="inlineStr"/>
      <c r="K75" s="3" t="inlineStr">
        <is>
          <t>W: 5.4 cm; H: 6 cm</t>
        </is>
      </c>
      <c r="L75" s="3" t="inlineStr">
        <is>
          <t>العرض: ٥٫٤ سم، الطول: ٦ سم</t>
        </is>
      </c>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is>
          <t>https://mia.nadimfoundation.org/q21619-2</t>
        </is>
      </c>
      <c r="AT75" s="3">
        <f>IMAGE("https://api.qrserver.com/v1/create-qr-code/?size=300x300&amp;margin=8&amp;color=06444C&amp;bgcolor=EAE8D8&amp;data="&amp;ENCODEURL(AS75))</f>
        <v/>
      </c>
      <c r="AU75" s="3" t="inlineStr">
        <is>
          <t>Registered April 28, 1960</t>
        </is>
      </c>
      <c r="AV75" s="3" t="inlineStr">
        <is>
          <t>سجلت فى ٢٨ أبريل ١٩٦٠</t>
        </is>
      </c>
      <c r="AW75" s="3" t="inlineStr"/>
      <c r="AX75" s="3" t="inlineStr"/>
      <c r="AY75" s="3" t="inlineStr">
        <is>
          <t>90</t>
        </is>
      </c>
      <c r="AZ75" s="3" t="inlineStr">
        <is>
          <t>182</t>
        </is>
      </c>
    </row>
    <row r="76">
      <c r="A76" s="3" t="inlineStr">
        <is>
          <t>21619-4</t>
        </is>
      </c>
      <c r="B76" s="3" t="inlineStr">
        <is>
          <t>Inv. no. 21619/4</t>
        </is>
      </c>
      <c r="C76" s="3" t="inlineStr">
        <is>
          <t>Single-Sided Comb</t>
        </is>
      </c>
      <c r="D76" s="3" t="inlineStr">
        <is>
          <t>مشط ذو أسنان من جانب واحد</t>
        </is>
      </c>
      <c r="E76" s="3" t="inlineStr"/>
      <c r="F76" s="3" t="inlineStr"/>
      <c r="G76" s="3" t="inlineStr">
        <is>
          <t>Three single-sided combs of similar size, all with simple incised marginal lines marking the boundary between teeth and handle. Some contain holes at their apex, likely intended for hanging.</t>
        </is>
      </c>
      <c r="H76" s="3" t="inlineStr">
        <is>
          <t>ثلاثة أمشاط ذات أسنان من ناحية واحدة ومتقاربة الأحجام، تتحدد معالمها بخطوط هامشية محفورة تفصل بين الأسنان والمقابض، ويحتوى بعضها على ثقوب عند القمة، يرجح أنها كانت تستخدم للتعليق.</t>
        </is>
      </c>
      <c r="I76" s="3" t="inlineStr"/>
      <c r="J76" s="3" t="inlineStr"/>
      <c r="K76" s="3" t="inlineStr">
        <is>
          <t>W: 5.9 cm; H: 5.8 cm</t>
        </is>
      </c>
      <c r="L76" s="3" t="inlineStr">
        <is>
          <t>العرض: ٥٫٩، الطول: ٥٫٨ سم</t>
        </is>
      </c>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is>
          <t>https://mia.nadimfoundation.org/q21619-4</t>
        </is>
      </c>
      <c r="AT76" s="3">
        <f>IMAGE("https://api.qrserver.com/v1/create-qr-code/?size=300x300&amp;margin=8&amp;color=06444C&amp;bgcolor=EAE8D8&amp;data="&amp;ENCODEURL(AS76))</f>
        <v/>
      </c>
      <c r="AU76" s="3" t="inlineStr">
        <is>
          <t>Registered April 28, 1960</t>
        </is>
      </c>
      <c r="AV76" s="3" t="inlineStr">
        <is>
          <t>سجلت فى ٢٨ أبريل ١٩٦٠</t>
        </is>
      </c>
      <c r="AW76" s="3" t="inlineStr"/>
      <c r="AX76" s="3" t="inlineStr"/>
      <c r="AY76" s="3" t="inlineStr">
        <is>
          <t>91</t>
        </is>
      </c>
      <c r="AZ76" s="3" t="inlineStr">
        <is>
          <t>182</t>
        </is>
      </c>
    </row>
    <row r="77">
      <c r="A77" s="3" t="inlineStr">
        <is>
          <t>7054</t>
        </is>
      </c>
      <c r="B77" s="3" t="inlineStr">
        <is>
          <t>Inv. no. 7054</t>
        </is>
      </c>
      <c r="C77" s="3" t="inlineStr">
        <is>
          <t>Double-Sided Comb</t>
        </is>
      </c>
      <c r="D77" s="3" t="inlineStr">
        <is>
          <t>مشط ذو أسنان من الجانبين</t>
        </is>
      </c>
      <c r="E77" s="3" t="inlineStr"/>
      <c r="F77" s="3" t="inlineStr"/>
      <c r="G77" s="3" t="inlineStr">
        <is>
          <t>Double-sided comb; plain with a large hole, likely intended for hanging.</t>
        </is>
      </c>
      <c r="H77" s="3" t="inlineStr">
        <is>
          <t>مشط ثنائى الجانب بتصميم بسيط، به ثقب كبير يرجح أنه كان يستخدم للتعليق.</t>
        </is>
      </c>
      <c r="I77" s="3" t="inlineStr"/>
      <c r="J77" s="3" t="inlineStr"/>
      <c r="K77" s="3" t="inlineStr">
        <is>
          <t>W: 4.6 cm; L: 7.5 cm</t>
        </is>
      </c>
      <c r="L77" s="3" t="inlineStr">
        <is>
          <t>العرض: ٤٫٦ سم، الطول: ٧٫٥ سم</t>
        </is>
      </c>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is>
          <t>https://mia.nadimfoundation.org/q7054</t>
        </is>
      </c>
      <c r="AT77" s="3">
        <f>IMAGE("https://api.qrserver.com/v1/create-qr-code/?size=300x300&amp;margin=8&amp;color=06444C&amp;bgcolor=EAE8D8&amp;data="&amp;ENCODEURL(AS77))</f>
        <v/>
      </c>
      <c r="AU77" s="3" t="inlineStr"/>
      <c r="AV77" s="3" t="inlineStr"/>
      <c r="AW77" s="3" t="inlineStr"/>
      <c r="AX77" s="3" t="inlineStr"/>
      <c r="AY77" s="3" t="inlineStr"/>
      <c r="AZ77" s="3" t="inlineStr">
        <is>
          <t>185</t>
        </is>
      </c>
    </row>
    <row r="78">
      <c r="A78" s="3" t="inlineStr">
        <is>
          <t>18860-1</t>
        </is>
      </c>
      <c r="B78" s="3" t="inlineStr">
        <is>
          <t>Inv. no. 18860/1</t>
        </is>
      </c>
      <c r="C78" s="3" t="inlineStr">
        <is>
          <t>Double-Sided Comb</t>
        </is>
      </c>
      <c r="D78" s="3" t="inlineStr">
        <is>
          <t>مشط بجانبين</t>
        </is>
      </c>
      <c r="E78" s="3" t="inlineStr"/>
      <c r="F78" s="3" t="inlineStr"/>
      <c r="G78" s="3" t="inlineStr">
        <is>
          <t>Long wooden comb with prominent rings-and-dots on one face, arranged in a quincunx, and smaller rings-and-dots in between. The reverse is plain.</t>
        </is>
      </c>
      <c r="H78" s="3" t="inlineStr">
        <is>
          <t>مشط خشبى طويل بنقوش بارزة من زخارف الحلقة والنقطة على أحد الوجهين مرتبة على شكل خماسى متقاطع وتتخللها حلقات ونقاط أصغر حجما، بينما جاء الوجه الآخر خاليا من الزخرفة.</t>
        </is>
      </c>
      <c r="I78" s="3" t="inlineStr"/>
      <c r="J78" s="3" t="inlineStr"/>
      <c r="K78" s="3" t="inlineStr">
        <is>
          <t>W: 6.9 cm, H: 18.2 cm</t>
        </is>
      </c>
      <c r="L78" s="3" t="inlineStr">
        <is>
          <t>العرض: ٦٫٩ سم، الطول: ١٩٫٧ سم</t>
        </is>
      </c>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is>
          <t>https://mia.nadimfoundation.org/q18860-1</t>
        </is>
      </c>
      <c r="AT78" s="3">
        <f>IMAGE("https://api.qrserver.com/v1/create-qr-code/?size=300x300&amp;margin=8&amp;color=06444C&amp;bgcolor=EAE8D8&amp;data="&amp;ENCODEURL(AS78))</f>
        <v/>
      </c>
      <c r="AU78" s="3" t="inlineStr"/>
      <c r="AV78" s="3" t="inlineStr"/>
      <c r="AW78" s="3" t="inlineStr"/>
      <c r="AX78" s="3" t="inlineStr"/>
      <c r="AY78" s="3" t="inlineStr"/>
      <c r="AZ78" s="3" t="inlineStr">
        <is>
          <t>188</t>
        </is>
      </c>
    </row>
    <row r="79">
      <c r="A79" s="3" t="inlineStr">
        <is>
          <t>21618-1</t>
        </is>
      </c>
      <c r="B79" s="3" t="inlineStr">
        <is>
          <t>Inv. no. 21618/1</t>
        </is>
      </c>
      <c r="C79" s="3" t="inlineStr">
        <is>
          <t>Double-Sided Comb</t>
        </is>
      </c>
      <c r="D79" s="3" t="inlineStr">
        <is>
          <t>مشط ذو أسنان من الجانبين</t>
        </is>
      </c>
      <c r="E79" s="3" t="inlineStr"/>
      <c r="F79" s="3" t="inlineStr"/>
      <c r="G79" s="3" t="inlineStr">
        <is>
          <t>Long wooden comb in two reattached fragments. One face is decorated with a prominent central medallion formed of tightly-spaced rings-and-dots, with a large six-petalled star at the center and large rings-and-dots in the corners, all set within a central band delineated by incised marginal lines. The other face is decorated by large rings-and-dots, similarly set within a central band bordered by incised marginal lines.</t>
        </is>
      </c>
      <c r="H79" s="3" t="inlineStr">
        <is>
          <t>مشط خشبى كبير مكون من قطعتين أعيد لصقهما معا، أحد الوجهين مزين بجامة مركزية مع نقش بارز من زخارف الحلقة والنقطة متقاربة مع نجمة كبيرة ذات ست بتلات فى المنتصف، وزخارف الحلقة والنقطة بأحجام كبيرة فى الأركان، جميعها داخل شريط مركزى محدد بخطوط هامشية محفورة، والوجه الآخر يزدان بزخارف كبيرة من الحلقة والنقطة، متراصة بشكل مشابه داخل شريط مركزى محدد بخطوط محفورة.</t>
        </is>
      </c>
      <c r="I79" s="3" t="inlineStr"/>
      <c r="J79" s="3" t="inlineStr"/>
      <c r="K79" s="3" t="inlineStr">
        <is>
          <t>W: 8.5 cm; H: 23 cm</t>
        </is>
      </c>
      <c r="L79" s="3" t="inlineStr">
        <is>
          <t>العرض: ٨٫٥ سم، الطول: ٢٣ سم</t>
        </is>
      </c>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is>
          <t>https://mia.nadimfoundation.org/q21618-1</t>
        </is>
      </c>
      <c r="AT79" s="3">
        <f>IMAGE("https://api.qrserver.com/v1/create-qr-code/?size=300x300&amp;margin=8&amp;color=06444C&amp;bgcolor=EAE8D8&amp;data="&amp;ENCODEURL(AS79))</f>
        <v/>
      </c>
      <c r="AU79" s="3" t="inlineStr">
        <is>
          <t>Registered April 28, 1960</t>
        </is>
      </c>
      <c r="AV79" s="3" t="inlineStr">
        <is>
          <t>سجل فى ٢٨ أبريل ١٩٦٠</t>
        </is>
      </c>
      <c r="AW79" s="3" t="inlineStr"/>
      <c r="AX79" s="3" t="inlineStr"/>
      <c r="AY79" s="3" t="inlineStr"/>
      <c r="AZ79" s="3" t="inlineStr">
        <is>
          <t>189</t>
        </is>
      </c>
    </row>
    <row r="80">
      <c r="A80" s="3" t="inlineStr">
        <is>
          <t>2588</t>
        </is>
      </c>
      <c r="B80" s="3" t="inlineStr">
        <is>
          <t>Inv. no. 2588</t>
        </is>
      </c>
      <c r="C80" s="3" t="inlineStr">
        <is>
          <t>Double-Sided Comb</t>
        </is>
      </c>
      <c r="D80" s="3" t="inlineStr">
        <is>
          <t>مشط ذو أسنان من الجانبين</t>
        </is>
      </c>
      <c r="E80" s="3" t="inlineStr"/>
      <c r="F80" s="3" t="inlineStr"/>
      <c r="G80" s="3" t="inlineStr">
        <is>
          <t>Wooden comb with an inscription set within cartouches on both sides which reads: “Among what was made for the exalted presence, al-Najashi Najm al-Din Ayyub ibn al-Basha”.</t>
        </is>
      </c>
      <c r="H80" s="3" t="inlineStr">
        <is>
          <t>مشط خشبى يحمل نقشا كتابيا موضوعا داخل خراطيش على كلا الجانبين، نصه: «مما عمل برسم الجناب العالى النجاشى نجم الدين أيوب بن الباشا».</t>
        </is>
      </c>
      <c r="I80" s="3" t="inlineStr"/>
      <c r="J80" s="3" t="inlineStr"/>
      <c r="K80" s="3" t="inlineStr">
        <is>
          <t>W: 8.1 cm; H: 7.5 cm</t>
        </is>
      </c>
      <c r="L80" s="3" t="inlineStr">
        <is>
          <t>العرض: ٨٫١ سم، الطول: ٧٫٥ سم</t>
        </is>
      </c>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is>
          <t>https://mia.nadimfoundation.org/q2588</t>
        </is>
      </c>
      <c r="AT80" s="3">
        <f>IMAGE("https://api.qrserver.com/v1/create-qr-code/?size=300x300&amp;margin=8&amp;color=06444C&amp;bgcolor=EAE8D8&amp;data="&amp;ENCODEURL(AS80))</f>
        <v/>
      </c>
      <c r="AU80" s="3" t="inlineStr"/>
      <c r="AV80" s="3" t="inlineStr"/>
      <c r="AW80" s="3" t="inlineStr">
        <is>
          <t>Gifted by the Egyptian Museum of Antiquities</t>
        </is>
      </c>
      <c r="AX80" s="3" t="inlineStr">
        <is>
          <t>مهدى من متحف الآثار المصرى</t>
        </is>
      </c>
      <c r="AY80" s="3" t="inlineStr"/>
      <c r="AZ80" s="3" t="inlineStr">
        <is>
          <t>192</t>
        </is>
      </c>
    </row>
    <row r="81">
      <c r="A81" s="3" t="inlineStr">
        <is>
          <t>3883</t>
        </is>
      </c>
      <c r="B81" s="3" t="inlineStr">
        <is>
          <t>Inv. no. 3883</t>
        </is>
      </c>
      <c r="C81" s="3" t="inlineStr">
        <is>
          <t>Double-Sided Comb</t>
        </is>
      </c>
      <c r="D81" s="3" t="inlineStr">
        <is>
          <t>مشط ذو أسنان من الجانبين</t>
        </is>
      </c>
      <c r="E81" s="3" t="inlineStr"/>
      <c r="F81" s="3" t="inlineStr"/>
      <c r="G81" s="3" t="inlineStr">
        <is>
          <t>Wooden comb with an inscription on both sides which reads: “My passion called me to disobedience, but modesty and generosity forbade me”. Ascribed to the work of “Nasir ibn al-Baba”.</t>
        </is>
      </c>
      <c r="H81" s="3" t="inlineStr">
        <is>
          <t>مشط خشبى عليه نقش على كلا الجانبين يقول: «وما دعانى الهوى لمعصية إلا نهانى الحياء والكرم»، منسوب لعمل «ناصر بن البابا».</t>
        </is>
      </c>
      <c r="I81" s="3" t="inlineStr"/>
      <c r="J81" s="3" t="inlineStr"/>
      <c r="K81" s="3" t="inlineStr">
        <is>
          <t>W: 7.1 cm; H: 6.4 cm</t>
        </is>
      </c>
      <c r="L81" s="3" t="inlineStr">
        <is>
          <t>العرض: ٧ سم، الطول: ٦ سم</t>
        </is>
      </c>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is>
          <t>https://mia.nadimfoundation.org/q3883</t>
        </is>
      </c>
      <c r="AT81" s="3">
        <f>IMAGE("https://api.qrserver.com/v1/create-qr-code/?size=300x300&amp;margin=8&amp;color=06444C&amp;bgcolor=EAE8D8&amp;data="&amp;ENCODEURL(AS81))</f>
        <v/>
      </c>
      <c r="AU81" s="3" t="inlineStr"/>
      <c r="AV81" s="3" t="inlineStr"/>
      <c r="AW81" s="3" t="inlineStr">
        <is>
          <t>Donated by Dikran Kelkian, 20th century</t>
        </is>
      </c>
      <c r="AX81" s="3" t="inlineStr">
        <is>
          <t>مهداة من ديكران كلكيان، القرن العشرون</t>
        </is>
      </c>
      <c r="AY81" s="3" t="inlineStr"/>
      <c r="AZ81" s="3" t="inlineStr">
        <is>
          <t>193</t>
        </is>
      </c>
    </row>
    <row r="82">
      <c r="A82" s="3" t="inlineStr">
        <is>
          <t>4920</t>
        </is>
      </c>
      <c r="B82" s="3" t="inlineStr">
        <is>
          <t>Inv. no. 4920</t>
        </is>
      </c>
      <c r="C82" s="3" t="inlineStr">
        <is>
          <t>Double-Sided Comb</t>
        </is>
      </c>
      <c r="D82" s="3" t="inlineStr">
        <is>
          <t>مشط ذو أسنان من الجانبين</t>
        </is>
      </c>
      <c r="E82" s="3" t="inlineStr">
        <is>
          <t>From the ruins of al-Fustat</t>
        </is>
      </c>
      <c r="F82" s="3" t="inlineStr">
        <is>
          <t>من آثار الفسطاط</t>
        </is>
      </c>
      <c r="G82" s="3" t="inlineStr">
        <is>
          <t>Wooden comb inscribed on both sides with the phrase “Lasting Glory” in the center, and “Good Fortune” repeated twice on either side. The prominent calligraphy and large irregular octagons are both complemented by the consistent use of ring-and-dot motifs.</t>
        </is>
      </c>
      <c r="H82" s="3" t="inlineStr">
        <is>
          <t>مشط خشبى منقوش على كلا أحد الوجهين عبارة «العز الدائم» فى الوسط، وعلى الوجه الآخر كلمة «الإقبال». يعزز الخط البارز والمثمنات الكبيرة غير المنتظمة هذا التكوين، إلى جانب الاستخدام المنتظم لزخرفة الحلقة والنقطة.</t>
        </is>
      </c>
      <c r="I82" s="3" t="inlineStr"/>
      <c r="J82" s="3" t="inlineStr"/>
      <c r="K82" s="3" t="inlineStr">
        <is>
          <t>W: 7.8 cm; H: 8.3 cm</t>
        </is>
      </c>
      <c r="L82" s="3" t="inlineStr">
        <is>
          <t>العرض: ٧٫٨ سم، الطول: ٨٫٣ سم</t>
        </is>
      </c>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is>
          <t>https://mia.nadimfoundation.org/q4920</t>
        </is>
      </c>
      <c r="AT82" s="3">
        <f>IMAGE("https://api.qrserver.com/v1/create-qr-code/?size=300x300&amp;margin=8&amp;color=06444C&amp;bgcolor=EAE8D8&amp;data="&amp;ENCODEURL(AS82))</f>
        <v/>
      </c>
      <c r="AU82" s="3" t="inlineStr"/>
      <c r="AV82" s="3" t="inlineStr"/>
      <c r="AW82" s="3" t="inlineStr"/>
      <c r="AX82" s="3" t="inlineStr"/>
      <c r="AY82" s="3" t="inlineStr"/>
      <c r="AZ82" s="3" t="inlineStr">
        <is>
          <t>194</t>
        </is>
      </c>
    </row>
    <row r="83">
      <c r="A83" s="3" t="inlineStr">
        <is>
          <t>4922</t>
        </is>
      </c>
      <c r="B83" s="3" t="inlineStr">
        <is>
          <t>Inv. no. 4922</t>
        </is>
      </c>
      <c r="C83" s="3" t="inlineStr">
        <is>
          <t>Double-Sided Comb</t>
        </is>
      </c>
      <c r="D83" s="3" t="inlineStr">
        <is>
          <t>مشط ذو أسنان من الجانبين</t>
        </is>
      </c>
      <c r="E83" s="3" t="inlineStr">
        <is>
          <t>From the ruins of al-Fustat</t>
        </is>
      </c>
      <c r="F83" s="3" t="inlineStr">
        <is>
          <t>من آثار الفسطاط</t>
        </is>
      </c>
      <c r="G83" s="3" t="inlineStr">
        <is>
          <t>Wooden comb with an inscription on both sides which reads: “Among what was made for the noble and exalted presence, al-khatuni, may his life endure”, interrupted by large medallions inset with six-petalled flowers.</t>
        </is>
      </c>
      <c r="H83" s="3" t="inlineStr">
        <is>
          <t>مشط خشبى يحمل على وجهيه نقشا كتابيا يقرأ: «مما عمل برسم الجناب المنيع الخاتوني دامت حياته»، تفصله جامات دائرية كبيرة تتوسط كل منها زهرة ذات ست بتلات.</t>
        </is>
      </c>
      <c r="I83" s="3" t="inlineStr"/>
      <c r="J83" s="3" t="inlineStr"/>
      <c r="K83" s="3" t="inlineStr">
        <is>
          <t>W: 8.2 cm; H: 7.2 cm</t>
        </is>
      </c>
      <c r="L83" s="3" t="inlineStr">
        <is>
          <t>العرض: ٨٫٢ سم، الطول: ٧٫٢ سم</t>
        </is>
      </c>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is>
          <t>https://mia.nadimfoundation.org/q4922</t>
        </is>
      </c>
      <c r="AT83" s="3">
        <f>IMAGE("https://api.qrserver.com/v1/create-qr-code/?size=300x300&amp;margin=8&amp;color=06444C&amp;bgcolor=EAE8D8&amp;data="&amp;ENCODEURL(AS83))</f>
        <v/>
      </c>
      <c r="AU83" s="3" t="inlineStr"/>
      <c r="AV83" s="3" t="inlineStr"/>
      <c r="AW83" s="3" t="inlineStr"/>
      <c r="AX83" s="3" t="inlineStr"/>
      <c r="AY83" s="3" t="inlineStr"/>
      <c r="AZ83" s="3" t="inlineStr">
        <is>
          <t>195</t>
        </is>
      </c>
    </row>
    <row r="84">
      <c r="A84" s="3" t="inlineStr">
        <is>
          <t>4923</t>
        </is>
      </c>
      <c r="B84" s="3" t="inlineStr">
        <is>
          <t>Inv. no. 4923</t>
        </is>
      </c>
      <c r="C84" s="3" t="inlineStr">
        <is>
          <t>Double-Sided Comb</t>
        </is>
      </c>
      <c r="D84" s="3" t="inlineStr">
        <is>
          <t>مشط ثنائى الجانب</t>
        </is>
      </c>
      <c r="E84" s="3" t="inlineStr">
        <is>
          <t>From the ruins of al-Fustat</t>
        </is>
      </c>
      <c r="F84" s="3" t="inlineStr">
        <is>
          <t>من آثار الفسطاط</t>
        </is>
      </c>
      <c r="G84" s="3" t="inlineStr">
        <is>
          <t>Fragment of a wooden comb inscribed with the words: “The exalted” in a central cartouche on both sides, flanked by decorative medallions and ring-and-dots.</t>
        </is>
      </c>
      <c r="H84" s="3" t="inlineStr">
        <is>
          <t>جزء من مشط خشبى يحمل نقشا يتضمن عبارة «العالى» داخل خرطوشة مركزية على كلا الجانبين، تحف بها جامات، إلى جانب زخرفة الحلقة والنقطة.</t>
        </is>
      </c>
      <c r="I84" s="3" t="inlineStr"/>
      <c r="J84" s="3" t="inlineStr"/>
      <c r="K84" s="3" t="inlineStr">
        <is>
          <t>W: 4.9 cm; H: 8.3 cm</t>
        </is>
      </c>
      <c r="L84" s="3" t="inlineStr">
        <is>
          <t>العرض: ٤٫٩ سم، الطول ٨٫٣ سم</t>
        </is>
      </c>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is>
          <t>https://mia.nadimfoundation.org/q4923</t>
        </is>
      </c>
      <c r="AT84" s="3">
        <f>IMAGE("https://api.qrserver.com/v1/create-qr-code/?size=300x300&amp;margin=8&amp;color=06444C&amp;bgcolor=EAE8D8&amp;data="&amp;ENCODEURL(AS84))</f>
        <v/>
      </c>
      <c r="AU84" s="3" t="inlineStr"/>
      <c r="AV84" s="3" t="inlineStr"/>
      <c r="AW84" s="3" t="inlineStr"/>
      <c r="AX84" s="3" t="inlineStr"/>
      <c r="AY84" s="3" t="inlineStr"/>
      <c r="AZ84" s="3" t="inlineStr">
        <is>
          <t>196</t>
        </is>
      </c>
    </row>
    <row r="85">
      <c r="A85" s="3" t="inlineStr">
        <is>
          <t>4927</t>
        </is>
      </c>
      <c r="B85" s="3" t="inlineStr">
        <is>
          <t>Inv. no. 4927</t>
        </is>
      </c>
      <c r="C85" s="3" t="inlineStr">
        <is>
          <t>Double-Sided Comb</t>
        </is>
      </c>
      <c r="D85" s="3" t="inlineStr">
        <is>
          <t>مشط ذو أسنان من الجانبين</t>
        </is>
      </c>
      <c r="E85" s="3" t="inlineStr">
        <is>
          <t>From the ruins of al-Fustat</t>
        </is>
      </c>
      <c r="F85" s="3" t="inlineStr">
        <is>
          <t>من آثار الفسطاط</t>
        </is>
      </c>
      <c r="G85" s="3" t="inlineStr">
        <is>
          <t>Wooden comb with inscriptions on both sides with the phrase “Lasting Glory”, interrupted by a central medallion with a five-petalled whirling rosette, and flanked on either side by large ring-and-dot motifs and openwork medallions.</t>
        </is>
      </c>
      <c r="H85" s="3" t="inlineStr">
        <is>
          <t>مشط خشبى منقوش على جانبيه عبارة «عز دائم»، يتوسطها جامة مركزية عليها شكل وردة دوارة خماسية البتلات، تحيط بها من الجانبين زخارف كبيرة من طراز الحلقة والنقطة وجامات مفرغة.</t>
        </is>
      </c>
      <c r="I85" s="3" t="inlineStr"/>
      <c r="J85" s="3" t="inlineStr"/>
      <c r="K85" s="3" t="inlineStr">
        <is>
          <t>W: 9.2 cm; H: 8.1 cm</t>
        </is>
      </c>
      <c r="L85" s="3" t="inlineStr">
        <is>
          <t>العرض: ٩٫٢ سم، الطول: ٨٫١ سم</t>
        </is>
      </c>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is>
          <t>https://mia.nadimfoundation.org/q4927</t>
        </is>
      </c>
      <c r="AT85" s="3">
        <f>IMAGE("https://api.qrserver.com/v1/create-qr-code/?size=300x300&amp;margin=8&amp;color=06444C&amp;bgcolor=EAE8D8&amp;data="&amp;ENCODEURL(AS85))</f>
        <v/>
      </c>
      <c r="AU85" s="3" t="inlineStr"/>
      <c r="AV85" s="3" t="inlineStr"/>
      <c r="AW85" s="3" t="inlineStr"/>
      <c r="AX85" s="3" t="inlineStr"/>
      <c r="AY85" s="3" t="inlineStr"/>
      <c r="AZ85" s="3" t="inlineStr">
        <is>
          <t>197</t>
        </is>
      </c>
    </row>
    <row r="86">
      <c r="A86" s="3" t="inlineStr">
        <is>
          <t>4929</t>
        </is>
      </c>
      <c r="B86" s="3" t="inlineStr">
        <is>
          <t>Inv. no. 4929</t>
        </is>
      </c>
      <c r="C86" s="3" t="inlineStr">
        <is>
          <t>Double-Sided Comb</t>
        </is>
      </c>
      <c r="D86" s="3" t="inlineStr">
        <is>
          <t>مشط ذو أسنان من الجانبين</t>
        </is>
      </c>
      <c r="E86" s="3" t="inlineStr">
        <is>
          <t>From the ruins of al-Fustat</t>
        </is>
      </c>
      <c r="F86" s="3" t="inlineStr">
        <is>
          <t>من آثار الفسطاط</t>
        </is>
      </c>
      <c r="G86" s="3" t="inlineStr">
        <is>
          <t>Wooden comb with naskh inscriptions on both sides which read: “O Lord, grant me a good ending.”</t>
        </is>
      </c>
      <c r="H86" s="3" t="inlineStr">
        <is>
          <t>مشط خشبى عليه كتابات بخط النسخ على الوجهين، تقرأ: «رب اختم لى بخير».</t>
        </is>
      </c>
      <c r="I86" s="3" t="inlineStr"/>
      <c r="J86" s="3" t="inlineStr"/>
      <c r="K86" s="3" t="inlineStr">
        <is>
          <t>W: 8 cm; H: 7.4 cm</t>
        </is>
      </c>
      <c r="L86" s="3" t="inlineStr">
        <is>
          <t>العرض: ٨ سم، الطول: ٧٫٤ سم</t>
        </is>
      </c>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is>
          <t>https://mia.nadimfoundation.org/q4929</t>
        </is>
      </c>
      <c r="AT86" s="3">
        <f>IMAGE("https://api.qrserver.com/v1/create-qr-code/?size=300x300&amp;margin=8&amp;color=06444C&amp;bgcolor=EAE8D8&amp;data="&amp;ENCODEURL(AS86))</f>
        <v/>
      </c>
      <c r="AU86" s="3" t="inlineStr"/>
      <c r="AV86" s="3" t="inlineStr"/>
      <c r="AW86" s="3" t="inlineStr"/>
      <c r="AX86" s="3" t="inlineStr"/>
      <c r="AY86" s="3" t="inlineStr"/>
      <c r="AZ86" s="3" t="inlineStr">
        <is>
          <t>198</t>
        </is>
      </c>
    </row>
    <row r="87">
      <c r="A87" s="3" t="inlineStr">
        <is>
          <t>4930</t>
        </is>
      </c>
      <c r="B87" s="3" t="inlineStr">
        <is>
          <t>Inv. no. 4930</t>
        </is>
      </c>
      <c r="C87" s="3" t="inlineStr">
        <is>
          <t>Double-Sided Comb</t>
        </is>
      </c>
      <c r="D87" s="3" t="inlineStr">
        <is>
          <t>مشط ذو أسنان من الجانبين</t>
        </is>
      </c>
      <c r="E87" s="3" t="inlineStr">
        <is>
          <t>From the ruins of al-Fustat</t>
        </is>
      </c>
      <c r="F87" s="3" t="inlineStr">
        <is>
          <t>من آثار الفسطاط،</t>
        </is>
      </c>
      <c r="G87" s="3" t="inlineStr">
        <is>
          <t>Fragment of a wooden comb with inscriptions on both sides which read: “Lasting Glory”, with the rank of the napkin (buqja), signifying the position of the master of robes (jamdar) during the Mamluk period.</t>
        </is>
      </c>
      <c r="H87" s="3" t="inlineStr">
        <is>
          <t>جزء من مشط خشبى عليه كتابات بخط النسخ على الوجهين، مكتوب عليه: «العز الدائم»، مع رنك المنديل (البقجة) الذى يرمز لمنصب مسؤول الملابس (الجمدار) فى العصر المملوكى.العصر المملوكى.</t>
        </is>
      </c>
      <c r="I87" s="3" t="inlineStr">
        <is>
          <t>Mamluk, 648-923 AH / 1250-1517 CE</t>
        </is>
      </c>
      <c r="J87" s="3" t="inlineStr">
        <is>
          <t>مملوكى، ٦٤٨-٩٢٣ هـ / ١٢٥٠-١٥١٧ م</t>
        </is>
      </c>
      <c r="K87" s="3" t="inlineStr">
        <is>
          <t>W: 5 cm; H: 6.2 cm</t>
        </is>
      </c>
      <c r="L87" s="3" t="inlineStr">
        <is>
          <t>العرض: ٥ سم، الطول: ٦٫٢ سم</t>
        </is>
      </c>
      <c r="M87" s="3" t="inlineStr"/>
      <c r="N87" s="3" t="inlineStr"/>
      <c r="O87" s="3" t="inlineStr"/>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is>
          <t>https://mia.nadimfoundation.org/q4930</t>
        </is>
      </c>
      <c r="AT87" s="3">
        <f>IMAGE("https://api.qrserver.com/v1/create-qr-code/?size=300x300&amp;margin=8&amp;color=06444C&amp;bgcolor=EAE8D8&amp;data="&amp;ENCODEURL(AS87))</f>
        <v/>
      </c>
      <c r="AU87" s="3" t="inlineStr"/>
      <c r="AV87" s="3" t="inlineStr"/>
      <c r="AW87" s="3" t="inlineStr"/>
      <c r="AX87" s="3" t="inlineStr"/>
      <c r="AY87" s="3" t="inlineStr"/>
      <c r="AZ87" s="3" t="inlineStr">
        <is>
          <t>199</t>
        </is>
      </c>
    </row>
    <row r="88">
      <c r="A88" s="3" t="inlineStr">
        <is>
          <t>4933</t>
        </is>
      </c>
      <c r="B88" s="3" t="inlineStr">
        <is>
          <t>Inv. no. 4933</t>
        </is>
      </c>
      <c r="C88" s="3" t="inlineStr">
        <is>
          <t>Double-Sided Comb</t>
        </is>
      </c>
      <c r="D88" s="3" t="inlineStr">
        <is>
          <t>مشط ذو أسنان من الجانبين</t>
        </is>
      </c>
      <c r="E88" s="3" t="inlineStr">
        <is>
          <t>From the ruins of al-Fustat</t>
        </is>
      </c>
      <c r="F88" s="3" t="inlineStr">
        <is>
          <t>من آثار الفسطاط</t>
        </is>
      </c>
      <c r="G88" s="3" t="inlineStr">
        <is>
          <t>Fragment of a wooden comb, similar to No. 4930, with an inscription along the surviving edge which reads: “Good Fortune”, flanked on either face by two decorative medallions and with a large openwork cartouche in the center.</t>
        </is>
      </c>
      <c r="H88" s="3" t="inlineStr">
        <is>
          <t>جزء من مشط خشبى، شبيه بالقطعة رقم ٤٩٣٠، يحمل نقشا على الحافة المتبقية نصه: «الإقبال». وترد الكتابة على كل وجه بين جامتين زخرفيتين، مع خرطوشة كبيرة مفرغة فى الوسط.</t>
        </is>
      </c>
      <c r="I88" s="3" t="inlineStr"/>
      <c r="J88" s="3" t="inlineStr"/>
      <c r="K88" s="3" t="inlineStr">
        <is>
          <t>W: 5.7 cm; H: 9.2 cm</t>
        </is>
      </c>
      <c r="L88" s="3" t="inlineStr">
        <is>
          <t>العرض: ٨ سم، الطول: ٥ سم</t>
        </is>
      </c>
      <c r="M88" s="3" t="inlineStr"/>
      <c r="N88" s="3" t="inlineStr"/>
      <c r="O88" s="3" t="inlineStr"/>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is>
          <t>https://mia.nadimfoundation.org/q4933</t>
        </is>
      </c>
      <c r="AT88" s="3">
        <f>IMAGE("https://api.qrserver.com/v1/create-qr-code/?size=300x300&amp;margin=8&amp;color=06444C&amp;bgcolor=EAE8D8&amp;data="&amp;ENCODEURL(AS88))</f>
        <v/>
      </c>
      <c r="AU88" s="3" t="inlineStr"/>
      <c r="AV88" s="3" t="inlineStr"/>
      <c r="AW88" s="3" t="inlineStr"/>
      <c r="AX88" s="3" t="inlineStr"/>
      <c r="AY88" s="3" t="inlineStr"/>
      <c r="AZ88" s="3" t="inlineStr">
        <is>
          <t>200</t>
        </is>
      </c>
    </row>
    <row r="89">
      <c r="A89" s="3" t="inlineStr">
        <is>
          <t>4934</t>
        </is>
      </c>
      <c r="B89" s="3" t="inlineStr">
        <is>
          <t>Inv. no. 4934</t>
        </is>
      </c>
      <c r="C89" s="3" t="inlineStr">
        <is>
          <t>Double-Sided Comb</t>
        </is>
      </c>
      <c r="D89" s="3" t="inlineStr">
        <is>
          <t>مشط ذو أسنان من الجانبين</t>
        </is>
      </c>
      <c r="E89" s="3" t="inlineStr">
        <is>
          <t>From the ruins of al-Fustat</t>
        </is>
      </c>
      <c r="F89" s="3" t="inlineStr">
        <is>
          <t>من آثار الفسطاط</t>
        </is>
      </c>
      <c r="G89" s="3" t="inlineStr">
        <is>
          <t>Fragment of a wooden comb with an inscription in naskh along the surviving edge, surrounded by openwork designs and rings-and-dots.</t>
        </is>
      </c>
      <c r="H89" s="3" t="inlineStr">
        <is>
          <t>جزء من مشط خشبى مع كتابات بخط النسخ على بقايا الحافة، ومحاط بزخارف مفرغة وأخرى من طراز الحلقة والنقطة.</t>
        </is>
      </c>
      <c r="I89" s="3" t="inlineStr"/>
      <c r="J89" s="3" t="inlineStr"/>
      <c r="K89" s="3" t="inlineStr">
        <is>
          <t>W: 5 cm; H: 8.3 cm</t>
        </is>
      </c>
      <c r="L89" s="3" t="inlineStr">
        <is>
          <t>العرض: ٥ سم، الطول: ٨٫٣ سم</t>
        </is>
      </c>
      <c r="M89" s="3" t="inlineStr"/>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is>
          <t>https://mia.nadimfoundation.org/q4934</t>
        </is>
      </c>
      <c r="AT89" s="3">
        <f>IMAGE("https://api.qrserver.com/v1/create-qr-code/?size=300x300&amp;margin=8&amp;color=06444C&amp;bgcolor=EAE8D8&amp;data="&amp;ENCODEURL(AS89))</f>
        <v/>
      </c>
      <c r="AU89" s="3" t="inlineStr"/>
      <c r="AV89" s="3" t="inlineStr"/>
      <c r="AW89" s="3" t="inlineStr"/>
      <c r="AX89" s="3" t="inlineStr"/>
      <c r="AY89" s="3" t="inlineStr"/>
      <c r="AZ89" s="3" t="inlineStr">
        <is>
          <t>201</t>
        </is>
      </c>
    </row>
    <row r="90">
      <c r="A90" s="3" t="inlineStr">
        <is>
          <t>4935</t>
        </is>
      </c>
      <c r="B90" s="3" t="inlineStr">
        <is>
          <t>Inv. no. 4935</t>
        </is>
      </c>
      <c r="C90" s="3" t="inlineStr">
        <is>
          <t>Double-Sided Comb</t>
        </is>
      </c>
      <c r="D90" s="3" t="inlineStr">
        <is>
          <t>مشط ذو أسنان من الجانبين</t>
        </is>
      </c>
      <c r="E90" s="3" t="inlineStr">
        <is>
          <t>From the ruins of al-Fustat</t>
        </is>
      </c>
      <c r="F90" s="3" t="inlineStr">
        <is>
          <t>من آثار الفسطاط</t>
        </is>
      </c>
      <c r="G90" s="3" t="inlineStr">
        <is>
          <t>Fragment of a wooden comb with an inscription in naskh rounding the corner which reads: “Indeed, I am in a palm”, and geometric openwork decoration in the central band.</t>
        </is>
      </c>
      <c r="H90" s="3" t="inlineStr">
        <is>
          <t>جزء من مشط خشبى مع كتابات بخط النسخ على الحافة، تقرأ: «إنى لفى كف»، وزخارف هندسية مفرغة فى الشريط المركزى.</t>
        </is>
      </c>
      <c r="I90" s="3" t="inlineStr"/>
      <c r="J90" s="3" t="inlineStr"/>
      <c r="K90" s="3" t="inlineStr">
        <is>
          <t>W: 6.3 cm; H: 8.6 cm</t>
        </is>
      </c>
      <c r="L90" s="3" t="inlineStr">
        <is>
          <t>العرض: ٦٫٣ سم، الطول: ٨٫٦ سم</t>
        </is>
      </c>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is>
          <t>https://mia.nadimfoundation.org/q4935</t>
        </is>
      </c>
      <c r="AT90" s="3">
        <f>IMAGE("https://api.qrserver.com/v1/create-qr-code/?size=300x300&amp;margin=8&amp;color=06444C&amp;bgcolor=EAE8D8&amp;data="&amp;ENCODEURL(AS90))</f>
        <v/>
      </c>
      <c r="AU90" s="3" t="inlineStr"/>
      <c r="AV90" s="3" t="inlineStr"/>
      <c r="AW90" s="3" t="inlineStr"/>
      <c r="AX90" s="3" t="inlineStr"/>
      <c r="AY90" s="3" t="inlineStr"/>
      <c r="AZ90" s="3" t="inlineStr">
        <is>
          <t>202</t>
        </is>
      </c>
    </row>
    <row r="91">
      <c r="A91" s="3" t="inlineStr">
        <is>
          <t>4936</t>
        </is>
      </c>
      <c r="B91" s="3" t="inlineStr">
        <is>
          <t>Inv. no. 4936</t>
        </is>
      </c>
      <c r="C91" s="3" t="inlineStr">
        <is>
          <t>Double-Sided Comb</t>
        </is>
      </c>
      <c r="D91" s="3" t="inlineStr">
        <is>
          <t>مشط ذو أسنان من الجانبين</t>
        </is>
      </c>
      <c r="E91" s="3" t="inlineStr">
        <is>
          <t>From the ruins of al-Fustat</t>
        </is>
      </c>
      <c r="F91" s="3" t="inlineStr">
        <is>
          <t>من آثار الفسطاط</t>
        </is>
      </c>
      <c r="G91" s="3" t="inlineStr">
        <is>
          <t>Fragment of a wooden comb with an inscription in naskh rounding the corner which reads: “I am a comb made for grooming,” and geometric openwork decoration in two horizontal bands, flanked by a smaller vertical band.</t>
        </is>
      </c>
      <c r="H91" s="3" t="inlineStr">
        <is>
          <t>جزء من مشط خشبى مع كتابات بخط النسخ على الحافة، تقرأ: «أنا مشط عملت للتسريح»، وزخارف هندسية مفرغة فى شريطين أفقيين يتقاطعان مع شريط عمودى أصغر.</t>
        </is>
      </c>
      <c r="I91" s="3" t="inlineStr"/>
      <c r="J91" s="3" t="inlineStr"/>
      <c r="K91" s="3" t="inlineStr">
        <is>
          <t>W: 6.1 cm; H: 9.5 cm</t>
        </is>
      </c>
      <c r="L91" s="3" t="inlineStr">
        <is>
          <t>العرض: ٦٫١ سم، الطول: ٩٫٥ سم</t>
        </is>
      </c>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is>
          <t>https://mia.nadimfoundation.org/q4936</t>
        </is>
      </c>
      <c r="AT91" s="3">
        <f>IMAGE("https://api.qrserver.com/v1/create-qr-code/?size=300x300&amp;margin=8&amp;color=06444C&amp;bgcolor=EAE8D8&amp;data="&amp;ENCODEURL(AS91))</f>
        <v/>
      </c>
      <c r="AU91" s="3" t="inlineStr"/>
      <c r="AV91" s="3" t="inlineStr"/>
      <c r="AW91" s="3" t="inlineStr"/>
      <c r="AX91" s="3" t="inlineStr"/>
      <c r="AY91" s="3" t="inlineStr"/>
      <c r="AZ91" s="3" t="inlineStr">
        <is>
          <t>203</t>
        </is>
      </c>
    </row>
    <row r="92">
      <c r="A92" s="3" t="inlineStr">
        <is>
          <t>4937</t>
        </is>
      </c>
      <c r="B92" s="3" t="inlineStr">
        <is>
          <t>Inv. no. 4937</t>
        </is>
      </c>
      <c r="C92" s="3" t="inlineStr">
        <is>
          <t>Double-Sided Comb</t>
        </is>
      </c>
      <c r="D92" s="3" t="inlineStr">
        <is>
          <t>مشط ذو أسنان من الجانبين</t>
        </is>
      </c>
      <c r="E92" s="3" t="inlineStr">
        <is>
          <t>From the ruins of al-Fustat</t>
        </is>
      </c>
      <c r="F92" s="3" t="inlineStr">
        <is>
          <t>من آثار الفسطاط</t>
        </is>
      </c>
      <c r="G92" s="3" t="inlineStr">
        <is>
          <t>Fragment of a comb with a central inscription band flanked at the top and bottom by two openwork bands with geometric motifs.</t>
        </is>
      </c>
      <c r="H92" s="3" t="inlineStr">
        <is>
          <t>جزء من مشط يحتوى على شريط به كتابات ونقوش، ومحاط من الأعلى والأسفل بشريطين مفرغين بزخارف هندسية.</t>
        </is>
      </c>
      <c r="I92" s="3" t="inlineStr"/>
      <c r="J92" s="3" t="inlineStr"/>
      <c r="K92" s="3" t="inlineStr">
        <is>
          <t>W: 2.1 cm; H: 8.6 cm</t>
        </is>
      </c>
      <c r="L92" s="3" t="inlineStr">
        <is>
          <t>العرض: ٢٫١ سم، الطول: ٨٫٦ سم</t>
        </is>
      </c>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is>
          <t>https://mia.nadimfoundation.org/q4937</t>
        </is>
      </c>
      <c r="AT92" s="3">
        <f>IMAGE("https://api.qrserver.com/v1/create-qr-code/?size=300x300&amp;margin=8&amp;color=06444C&amp;bgcolor=EAE8D8&amp;data="&amp;ENCODEURL(AS92))</f>
        <v/>
      </c>
      <c r="AU92" s="3" t="inlineStr"/>
      <c r="AV92" s="3" t="inlineStr"/>
      <c r="AW92" s="3" t="inlineStr"/>
      <c r="AX92" s="3" t="inlineStr"/>
      <c r="AY92" s="3" t="inlineStr"/>
      <c r="AZ92" s="3" t="inlineStr">
        <is>
          <t>204</t>
        </is>
      </c>
    </row>
    <row r="93">
      <c r="A93" s="3" t="inlineStr">
        <is>
          <t>6621-2</t>
        </is>
      </c>
      <c r="B93" s="3" t="inlineStr">
        <is>
          <t>Inv. no. 6621/2</t>
        </is>
      </c>
      <c r="C93" s="3" t="inlineStr">
        <is>
          <t>Double-Sided Comb</t>
        </is>
      </c>
      <c r="D93" s="3" t="inlineStr">
        <is>
          <t>مشط ذو أسنان من الجانبين</t>
        </is>
      </c>
      <c r="E93" s="3" t="inlineStr"/>
      <c r="F93" s="3" t="inlineStr"/>
      <c r="G93" s="3" t="inlineStr">
        <is>
          <t>Fragment of a wooden comb with a prominent inscription in naskh which reads: “Making the head beautiful is the least of my virtues, I am a crown upon the forehead,” with interspersed ring-and-dot motifs.</t>
        </is>
      </c>
      <c r="H93" s="3" t="inlineStr">
        <is>
          <t>جزء من مشط خشبى عليه نقش كتابى بخط النسخ، يقرأ: «أقل محاسنى فعلا الرأس أجمل. أنا تاج على الجبين»، وتتخلله زخارف الحلقة والنقطة.</t>
        </is>
      </c>
      <c r="I93" s="3" t="inlineStr"/>
      <c r="J93" s="3" t="inlineStr"/>
      <c r="K93" s="3" t="inlineStr">
        <is>
          <t>W: 5.3 cm; H: 7.9 cm</t>
        </is>
      </c>
      <c r="L93" s="3" t="inlineStr">
        <is>
          <t>عرض: ٥٫٣ سم، الطول: ٧٫٩ سم</t>
        </is>
      </c>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is>
          <t>https://mia.nadimfoundation.org/q6621-2</t>
        </is>
      </c>
      <c r="AT93" s="3">
        <f>IMAGE("https://api.qrserver.com/v1/create-qr-code/?size=300x300&amp;margin=8&amp;color=06444C&amp;bgcolor=EAE8D8&amp;data="&amp;ENCODEURL(AS93))</f>
        <v/>
      </c>
      <c r="AU93" s="3" t="inlineStr">
        <is>
          <t>Registered January 3, 1924</t>
        </is>
      </c>
      <c r="AV93" s="3" t="inlineStr">
        <is>
          <t>سجل فى ٣ يناير ١٩٢٤</t>
        </is>
      </c>
      <c r="AW93" s="3" t="inlineStr">
        <is>
          <t>Purchased from Muhammad Sa‘d Ahmad</t>
        </is>
      </c>
      <c r="AX93" s="3" t="inlineStr">
        <is>
          <t>مشترى من محمد سعد أحمد</t>
        </is>
      </c>
      <c r="AY93" s="3" t="inlineStr"/>
      <c r="AZ93" s="3" t="inlineStr">
        <is>
          <t>205</t>
        </is>
      </c>
    </row>
    <row r="94">
      <c r="A94" s="3" t="inlineStr">
        <is>
          <t>8323</t>
        </is>
      </c>
      <c r="B94" s="3" t="inlineStr">
        <is>
          <t>Inv. no. 8323</t>
        </is>
      </c>
      <c r="C94" s="3" t="inlineStr">
        <is>
          <t>Double-Sided Comb</t>
        </is>
      </c>
      <c r="D94" s="3" t="inlineStr">
        <is>
          <t>مشط ذو أسنان من الجانبين</t>
        </is>
      </c>
      <c r="E94" s="3" t="inlineStr"/>
      <c r="F94" s="3" t="inlineStr"/>
      <c r="G94" s="3" t="inlineStr">
        <is>
          <t>Wooden comb with an ornate inscription in naskh, carved in relief, which reads: “I am a comb, made for grooming; I have groomed only the finest”. A central medallion on one face bears the phrase: “Who seeks”, with the phrase: “Finds” on the other. Rounding the corners at both ends of the comb are the phrases: “Lasting Glory” and “Success.”</t>
        </is>
      </c>
      <c r="H94" s="3" t="inlineStr">
        <is>
          <t>مشط خشبى منقوش بكتابات بارزة بخط النسخ، تقرأ: «أنا مشط عملت للتسريح لم أسرح إلا لكل مليح». وتتوسط أحد الوجهين جامة بعبارة «من جد»، وعلى الوجه الآخر عبارة «وجد»، بينما تحيط بزواياه عبارتا «العز الدائم» و«الإقبال».</t>
        </is>
      </c>
      <c r="I94" s="3" t="inlineStr"/>
      <c r="J94" s="3" t="inlineStr"/>
      <c r="K94" s="3" t="inlineStr">
        <is>
          <t>W: 9.4 cm; H: 8.3 cm</t>
        </is>
      </c>
      <c r="L94" s="3" t="inlineStr">
        <is>
          <t>العرض: ٩٫٤ سم، الطول: ٨٫٣ سم</t>
        </is>
      </c>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is>
          <t>https://mia.nadimfoundation.org/q8323</t>
        </is>
      </c>
      <c r="AT94" s="3">
        <f>IMAGE("https://api.qrserver.com/v1/create-qr-code/?size=300x300&amp;margin=8&amp;color=06444C&amp;bgcolor=EAE8D8&amp;data="&amp;ENCODEURL(AS94))</f>
        <v/>
      </c>
      <c r="AU94" s="3" t="inlineStr">
        <is>
          <t>Registered February 20, 1929</t>
        </is>
      </c>
      <c r="AV94" s="3" t="inlineStr">
        <is>
          <t>سجل فى ٢٠ فبراير ١٩٢٩</t>
        </is>
      </c>
      <c r="AW94" s="3" t="inlineStr">
        <is>
          <t>Purchased from Monsieur Tellal</t>
        </is>
      </c>
      <c r="AX94" s="3" t="inlineStr">
        <is>
          <t>مشتراة من مجموعة السيد طلال</t>
        </is>
      </c>
      <c r="AY94" s="3" t="inlineStr"/>
      <c r="AZ94" s="3" t="inlineStr">
        <is>
          <t>206</t>
        </is>
      </c>
    </row>
    <row r="95">
      <c r="A95" s="3" t="inlineStr">
        <is>
          <t>9273</t>
        </is>
      </c>
      <c r="B95" s="3" t="inlineStr">
        <is>
          <t>Inv. no. 9273</t>
        </is>
      </c>
      <c r="C95" s="3" t="inlineStr">
        <is>
          <t>Double-Sided Comb</t>
        </is>
      </c>
      <c r="D95" s="3" t="inlineStr">
        <is>
          <t>مشط ذو أسنان من الجانبين</t>
        </is>
      </c>
      <c r="E95" s="3" t="inlineStr"/>
      <c r="F95" s="3" t="inlineStr"/>
      <c r="G95" s="3" t="inlineStr">
        <is>
          <t>Boxwood comb with partially-preserved teeth on both sides, and an inscription in naskh which rounds each corner and reads: “Among what was made for the Amir Sayf al-Din”.</t>
        </is>
      </c>
      <c r="H95" s="3" t="inlineStr">
        <is>
          <t>مشط من خشب البقس، يحتفظ بأسنانه على الجانبين، يحمل نقشا محفورا بخط النسخ، يلتف حول الزوايا الأربع، نصه: «مما عمل برسم الأمير سيف الدين».</t>
        </is>
      </c>
      <c r="I95" s="3" t="inlineStr"/>
      <c r="J95" s="3" t="inlineStr"/>
      <c r="K95" s="3" t="inlineStr">
        <is>
          <t>W: 7.6 cm; H: 8 cm</t>
        </is>
      </c>
      <c r="L95" s="3" t="inlineStr">
        <is>
          <t>العرض: ٧٫٦ سم، الطول: ٨ سم</t>
        </is>
      </c>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is>
          <t>https://mia.nadimfoundation.org/q9273</t>
        </is>
      </c>
      <c r="AT95" s="3">
        <f>IMAGE("https://api.qrserver.com/v1/create-qr-code/?size=300x300&amp;margin=8&amp;color=06444C&amp;bgcolor=EAE8D8&amp;data="&amp;ENCODEURL(AS95))</f>
        <v/>
      </c>
      <c r="AU95" s="3" t="inlineStr">
        <is>
          <t>Registered May 6, 1930</t>
        </is>
      </c>
      <c r="AV95" s="3" t="inlineStr">
        <is>
          <t>سجل فى ٦ مايو ١٩٢٩</t>
        </is>
      </c>
      <c r="AW95" s="3" t="inlineStr"/>
      <c r="AX95" s="3" t="inlineStr"/>
      <c r="AY95" s="3" t="inlineStr"/>
      <c r="AZ95" s="3" t="inlineStr">
        <is>
          <t>207</t>
        </is>
      </c>
    </row>
    <row r="96">
      <c r="A96" s="3" t="inlineStr">
        <is>
          <t>9274</t>
        </is>
      </c>
      <c r="B96" s="3" t="inlineStr">
        <is>
          <t>Inv. no. 9274</t>
        </is>
      </c>
      <c r="C96" s="3" t="inlineStr">
        <is>
          <t>Double-Sided Comb</t>
        </is>
      </c>
      <c r="D96" s="3" t="inlineStr">
        <is>
          <t>مشط ذو أسنان من الجانبين</t>
        </is>
      </c>
      <c r="E96" s="3" t="inlineStr"/>
      <c r="F96" s="3" t="inlineStr"/>
      <c r="G96" s="3" t="inlineStr">
        <is>
          <t>Boxwood comb with partially-preserved teeth on both sides and a carved naskh inscription in relief set within cartouches which reads: “By order of the noble Amir Sayf al-Din Ibn Sa‘id”, flanked by two prominent finials.</t>
        </is>
      </c>
      <c r="H96" s="3" t="inlineStr">
        <is>
          <t>مشط من خشب البقس، يحتفظ بأسنانه على الجانبين، يحمل نقشا بخط النسخ منفذا بالحفر البارز، موضوعا داخل خراطيش، نصه: «برسم الأمير النبيل سيف الدين بن سعيد»، تحف به نهايتان بارزتان.</t>
        </is>
      </c>
      <c r="I96" s="3" t="inlineStr"/>
      <c r="J96" s="3" t="inlineStr"/>
      <c r="K96" s="3" t="inlineStr">
        <is>
          <t>W: 7.5 cm; H: 7.5 cm</t>
        </is>
      </c>
      <c r="L96" s="3" t="inlineStr">
        <is>
          <t>العرض: ٧٫٥ سم، الطول: ٧٫٥ سم</t>
        </is>
      </c>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is>
          <t>https://mia.nadimfoundation.org/q9274</t>
        </is>
      </c>
      <c r="AT96" s="3">
        <f>IMAGE("https://api.qrserver.com/v1/create-qr-code/?size=300x300&amp;margin=8&amp;color=06444C&amp;bgcolor=EAE8D8&amp;data="&amp;ENCODEURL(AS96))</f>
        <v/>
      </c>
      <c r="AU96" s="3" t="inlineStr">
        <is>
          <t>Registered May 6, 1930</t>
        </is>
      </c>
      <c r="AV96" s="3" t="inlineStr">
        <is>
          <t>سجل فى ٦ مايو ١٩٢٩</t>
        </is>
      </c>
      <c r="AW96" s="3" t="inlineStr"/>
      <c r="AX96" s="3" t="inlineStr"/>
      <c r="AY96" s="3" t="inlineStr"/>
      <c r="AZ96" s="3" t="inlineStr">
        <is>
          <t>208</t>
        </is>
      </c>
    </row>
    <row r="97">
      <c r="A97" s="3" t="inlineStr">
        <is>
          <t>14766</t>
        </is>
      </c>
      <c r="B97" s="3" t="inlineStr">
        <is>
          <t>Inv. no. 14766</t>
        </is>
      </c>
      <c r="C97" s="3" t="inlineStr">
        <is>
          <t>Double-Sided Comb</t>
        </is>
      </c>
      <c r="D97" s="3" t="inlineStr">
        <is>
          <t>مشط بجانبين</t>
        </is>
      </c>
      <c r="E97" s="3" t="inlineStr">
        <is>
          <t>From the collection of Abdallah Michael</t>
        </is>
      </c>
      <c r="F97" s="3" t="inlineStr">
        <is>
          <t>من مجموعة عبدللها مايكل.</t>
        </is>
      </c>
      <c r="G97" s="3" t="inlineStr">
        <is>
          <t>Boxwood comb, partially preserved, with two cartouches on either end with carved inscriptions in naskh, and large decorative medallions with carving and openwork, flanked by smaller rings-and-dots in the central band.</t>
        </is>
      </c>
      <c r="H97" s="3" t="inlineStr">
        <is>
          <t>جزء من مشط بخشب البقس، يزدان بخرطوشتين على كلا الحافتين، تحملان نقوشا كتابية محفورة بخط النسخ، وفى منتصفه جامات كبيرة مفرغة تحيط بها زخارف الحلقة والنقطة.</t>
        </is>
      </c>
      <c r="I97" s="3" t="inlineStr"/>
      <c r="J97" s="3" t="inlineStr"/>
      <c r="K97" s="3" t="inlineStr">
        <is>
          <t>W: 9.9 cm; L: 8 cm</t>
        </is>
      </c>
      <c r="L97" s="3" t="inlineStr">
        <is>
          <t>العرض: ٩٫٩ سم، الطول: ٨ سم.</t>
        </is>
      </c>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is>
          <t>https://mia.nadimfoundation.org/q14766</t>
        </is>
      </c>
      <c r="AT97" s="3">
        <f>IMAGE("https://api.qrserver.com/v1/create-qr-code/?size=300x300&amp;margin=8&amp;color=06444C&amp;bgcolor=EAE8D8&amp;data="&amp;ENCODEURL(AS97))</f>
        <v/>
      </c>
      <c r="AU97" s="3" t="inlineStr">
        <is>
          <t>Registered May 12, 1942</t>
        </is>
      </c>
      <c r="AV97" s="3" t="inlineStr">
        <is>
          <t>سجل فى ١٢ مايو ١٩٤٢.</t>
        </is>
      </c>
      <c r="AW97" s="3" t="inlineStr"/>
      <c r="AX97" s="3" t="inlineStr"/>
      <c r="AY97" s="3" t="inlineStr"/>
      <c r="AZ97" s="3" t="inlineStr">
        <is>
          <t>209</t>
        </is>
      </c>
    </row>
    <row r="98">
      <c r="A98" s="3" t="inlineStr">
        <is>
          <t>18764-1</t>
        </is>
      </c>
      <c r="B98" s="3" t="inlineStr">
        <is>
          <t>Inv. no. 18764/1</t>
        </is>
      </c>
      <c r="C98" s="3" t="inlineStr">
        <is>
          <t>Double-Sided Comb</t>
        </is>
      </c>
      <c r="D98" s="3" t="inlineStr">
        <is>
          <t>مشط ذو أسنان من الجانبين</t>
        </is>
      </c>
      <c r="E98" s="3" t="inlineStr"/>
      <c r="F98" s="3" t="inlineStr"/>
      <c r="G98" s="3" t="inlineStr">
        <is>
          <t>Wooden comb, partially-preserved, with inscriptions in naskh on both sides which read: “Lasting Glory”, set within a rounded cartouche, and flanked by openwork medallions and ring-and-dot motifs.</t>
        </is>
      </c>
      <c r="H98" s="3" t="inlineStr">
        <is>
          <t>جزء من مشط خشبى يحتفظ بهيئته، بنقوش كتابية بخط النسخ على كلا الجانبين، تقرأ: «العز الدائم» داخل خراطيش مستديرة، ويحيط بها جامات مفرغة وزخارف الحلقة والنقطة بأحجام مختلفة.</t>
        </is>
      </c>
      <c r="I98" s="3" t="inlineStr"/>
      <c r="J98" s="3" t="inlineStr"/>
      <c r="K98" s="3" t="inlineStr">
        <is>
          <t>W: 6.1 cm; H: 8 cm</t>
        </is>
      </c>
      <c r="L98" s="3" t="inlineStr">
        <is>
          <t>العرض: ٦٫١ سم، الطول: ٨ سم</t>
        </is>
      </c>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is>
          <t>https://mia.nadimfoundation.org/q18764-1</t>
        </is>
      </c>
      <c r="AT98" s="3">
        <f>IMAGE("https://api.qrserver.com/v1/create-qr-code/?size=300x300&amp;margin=8&amp;color=06444C&amp;bgcolor=EAE8D8&amp;data="&amp;ENCODEURL(AS98))</f>
        <v/>
      </c>
      <c r="AU98" s="3" t="inlineStr">
        <is>
          <t>Registered May 6, 1957</t>
        </is>
      </c>
      <c r="AV98" s="3" t="inlineStr">
        <is>
          <t>سجل فى ٦ مايو ١٩٥٧</t>
        </is>
      </c>
      <c r="AW98" s="3" t="inlineStr">
        <is>
          <t>Submitted by Dr. Muhammad Mustafa</t>
        </is>
      </c>
      <c r="AX98" s="3" t="inlineStr">
        <is>
          <t>مقدم من الدكتور محمد مصطفى</t>
        </is>
      </c>
      <c r="AY98" s="3" t="inlineStr"/>
      <c r="AZ98" s="3" t="inlineStr">
        <is>
          <t>210</t>
        </is>
      </c>
    </row>
    <row r="99">
      <c r="A99" s="3" t="inlineStr">
        <is>
          <t>18764-2</t>
        </is>
      </c>
      <c r="B99" s="3" t="inlineStr">
        <is>
          <t>Inv. no. 18764/2</t>
        </is>
      </c>
      <c r="C99" s="3" t="inlineStr">
        <is>
          <t>Double-Sided Comb</t>
        </is>
      </c>
      <c r="D99" s="3" t="inlineStr">
        <is>
          <t>مشط ذو أسنان من الجانبين</t>
        </is>
      </c>
      <c r="E99" s="3" t="inlineStr"/>
      <c r="F99" s="3" t="inlineStr"/>
      <c r="G99" s="3" t="inlineStr">
        <is>
          <t>Wooden comb, partially-preserved, with inscriptions in naskh on both sides which read: “Lasting Glory”, set within a rounded cartouche, and flanked by openwork medallions and ring-and-dot motifs</t>
        </is>
      </c>
      <c r="H99" s="3" t="inlineStr">
        <is>
          <t>جزء من مشط خشبى يحتفظ بهيئته، بنقوش كتابية بخط النسخ على كلا الجانبين، تقرأ: «العز الدائم» داخل خراطيش مستديرة، ويحيط بها جامات مفرغة وزخارف الحلقة والنقطة بأحجام مختلفة.</t>
        </is>
      </c>
      <c r="I99" s="3" t="inlineStr"/>
      <c r="J99" s="3" t="inlineStr"/>
      <c r="K99" s="3" t="inlineStr">
        <is>
          <t>W: 6 cm; H: 8.2 cm</t>
        </is>
      </c>
      <c r="L99" s="3" t="inlineStr">
        <is>
          <t>العرض: ٦ سم، الطول: ٨٫٢ سم</t>
        </is>
      </c>
      <c r="M99" s="3" t="inlineStr"/>
      <c r="N99" s="3" t="inlineStr"/>
      <c r="O99" s="3" t="inlineStr"/>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is>
          <t>https://mia.nadimfoundation.org/q18764-2</t>
        </is>
      </c>
      <c r="AT99" s="3">
        <f>IMAGE("https://api.qrserver.com/v1/create-qr-code/?size=300x300&amp;margin=8&amp;color=06444C&amp;bgcolor=EAE8D8&amp;data="&amp;ENCODEURL(AS99))</f>
        <v/>
      </c>
      <c r="AU99" s="3" t="inlineStr">
        <is>
          <t>Registered May 6, 1957</t>
        </is>
      </c>
      <c r="AV99" s="3" t="inlineStr">
        <is>
          <t>سجل فى ٦ مايو ١٩٥٧</t>
        </is>
      </c>
      <c r="AW99" s="3" t="inlineStr">
        <is>
          <t>Submitted by Dr. Muhammad Mustafa</t>
        </is>
      </c>
      <c r="AX99" s="3" t="inlineStr">
        <is>
          <t>مقدم من الدكتور محمد مصطفى</t>
        </is>
      </c>
      <c r="AY99" s="3" t="inlineStr"/>
      <c r="AZ99" s="3" t="inlineStr">
        <is>
          <t>211</t>
        </is>
      </c>
    </row>
    <row r="100">
      <c r="A100" s="3" t="inlineStr">
        <is>
          <t>18764-3</t>
        </is>
      </c>
      <c r="B100" s="3" t="inlineStr">
        <is>
          <t>Inv. no. 18764/3</t>
        </is>
      </c>
      <c r="C100" s="3" t="inlineStr">
        <is>
          <t>Double-Sided Comb</t>
        </is>
      </c>
      <c r="D100" s="3" t="inlineStr">
        <is>
          <t>مشط ذو أسنان من الجانبين</t>
        </is>
      </c>
      <c r="E100" s="3" t="inlineStr"/>
      <c r="F100" s="3" t="inlineStr"/>
      <c r="G100" s="3" t="inlineStr">
        <is>
          <t>Wooden comb with an inscription on both sides which reads: “When hardship closes in upon you, then reflect upon Alam Nashrah,” directing the reader to Surat al-Inshirah (Q. 94), with its repeated assurance that ease accompanies hardship.</t>
        </is>
      </c>
      <c r="H100" s="3" t="inlineStr">
        <is>
          <t>مشط خشبى يحمل كتابة على وجهيه تقرأ «اذا ضاقت بك العسرى ففكر في الم نشرح»، تحث القارئ على تدبر سورة الانشراح (السورة ٩٤ فى المصحف)، بما تحمله من تأكيد متكرر على أن اليسر يصاحب العسر.</t>
        </is>
      </c>
      <c r="I100" s="3" t="inlineStr"/>
      <c r="J100" s="3" t="inlineStr"/>
      <c r="K100" s="3" t="inlineStr">
        <is>
          <t>W: 6.7 cm; H: 7.2 cm</t>
        </is>
      </c>
      <c r="L100" s="3" t="inlineStr">
        <is>
          <t>العرض: ٦٫٧ سم، الطول: ٧٫٢ سم</t>
        </is>
      </c>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is>
          <t>https://mia.nadimfoundation.org/q18764-3</t>
        </is>
      </c>
      <c r="AT100" s="3">
        <f>IMAGE("https://api.qrserver.com/v1/create-qr-code/?size=300x300&amp;margin=8&amp;color=06444C&amp;bgcolor=EAE8D8&amp;data="&amp;ENCODEURL(AS100))</f>
        <v/>
      </c>
      <c r="AU100" s="3" t="inlineStr">
        <is>
          <t>Registered May 6, 1957</t>
        </is>
      </c>
      <c r="AV100" s="3" t="inlineStr">
        <is>
          <t>سجل فى ٦ مايو ١٩٥٧</t>
        </is>
      </c>
      <c r="AW100" s="3" t="inlineStr">
        <is>
          <t>Submitted by Dr. Muhammad Mustafa</t>
        </is>
      </c>
      <c r="AX100" s="3" t="inlineStr">
        <is>
          <t>مقدم من الدكتور محمد مصطفى</t>
        </is>
      </c>
      <c r="AY100" s="3" t="inlineStr"/>
      <c r="AZ100" s="3" t="inlineStr">
        <is>
          <t>212</t>
        </is>
      </c>
    </row>
    <row r="101">
      <c r="A101" s="3" t="inlineStr">
        <is>
          <t>18764-8</t>
        </is>
      </c>
      <c r="B101" s="3" t="inlineStr">
        <is>
          <t>Inv. no. 18764/8</t>
        </is>
      </c>
      <c r="C101" s="3" t="inlineStr">
        <is>
          <t>Double-Sided Comb</t>
        </is>
      </c>
      <c r="D101" s="3" t="inlineStr">
        <is>
          <t>مشط ذو أسنان من الجانبين</t>
        </is>
      </c>
      <c r="E101" s="3" t="inlineStr"/>
      <c r="F101" s="3" t="inlineStr"/>
      <c r="G101" s="3" t="inlineStr">
        <is>
          <t>Section of a wooden comb, partially-preserved, with inscriptions or pseudo-inscriptions on both sides in a prominent angular style.</t>
        </is>
      </c>
      <c r="H101" s="3" t="inlineStr">
        <is>
          <t>جزء من مشط خشبى به على كلا الجانبين نقوش أو شبه نقوش منفذة بزخارف من الخط الكوفى ذات زوايا حادة بارزة.</t>
        </is>
      </c>
      <c r="I101" s="3" t="inlineStr"/>
      <c r="J101" s="3" t="inlineStr"/>
      <c r="K101" s="3" t="inlineStr">
        <is>
          <t>W: 5.1 m; H: 11.7 cm</t>
        </is>
      </c>
      <c r="L101" s="3" t="inlineStr">
        <is>
          <t>العرض: ٥٫١ سم، الطول: ١١٫٧ سم</t>
        </is>
      </c>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is>
          <t>https://mia.nadimfoundation.org/q18764-8</t>
        </is>
      </c>
      <c r="AT101" s="3">
        <f>IMAGE("https://api.qrserver.com/v1/create-qr-code/?size=300x300&amp;margin=8&amp;color=06444C&amp;bgcolor=EAE8D8&amp;data="&amp;ENCODEURL(AS101))</f>
        <v/>
      </c>
      <c r="AU101" s="3" t="inlineStr">
        <is>
          <t>Registered May 6, 1957</t>
        </is>
      </c>
      <c r="AV101" s="3" t="inlineStr">
        <is>
          <t>سجل فى ٦ مايو ١٩٥٧</t>
        </is>
      </c>
      <c r="AW101" s="3" t="inlineStr">
        <is>
          <t>Submitted by Dr. Muhammad Mustafa</t>
        </is>
      </c>
      <c r="AX101" s="3" t="inlineStr">
        <is>
          <t>مقدم من الدكتور محمد مصطفى</t>
        </is>
      </c>
      <c r="AY101" s="3" t="inlineStr"/>
      <c r="AZ101" s="3" t="inlineStr">
        <is>
          <t>213</t>
        </is>
      </c>
    </row>
    <row r="102">
      <c r="A102" s="3" t="inlineStr">
        <is>
          <t>19400-3</t>
        </is>
      </c>
      <c r="B102" s="3" t="inlineStr">
        <is>
          <t>Inv. no. 19400/3</t>
        </is>
      </c>
      <c r="C102" s="3" t="inlineStr">
        <is>
          <t>Double-Sided Comb</t>
        </is>
      </c>
      <c r="D102" s="3" t="inlineStr">
        <is>
          <t>مشط ثنائى الجانب</t>
        </is>
      </c>
      <c r="E102" s="3" t="inlineStr"/>
      <c r="F102" s="3" t="inlineStr"/>
      <c r="G102" s="3" t="inlineStr">
        <is>
          <t>Wooden comb, partially preserved, with a Kufic inscription on one side and vegetal decoration on the other.</t>
        </is>
      </c>
      <c r="H102" s="3" t="inlineStr">
        <is>
          <t>مشط خشبى يحتفظ بهيئته، يحمل نقوشا كتابية بالخط الكوفى على أحد الوجهين وزخرفة نباتية على الوجه الآخر.</t>
        </is>
      </c>
      <c r="I102" s="3" t="inlineStr"/>
      <c r="J102" s="3" t="inlineStr"/>
      <c r="K102" s="3" t="inlineStr">
        <is>
          <t>W: 9.8 cm; H: 11.1 cm</t>
        </is>
      </c>
      <c r="L102" s="3" t="inlineStr">
        <is>
          <t>العرض: ٩٫٨ سم، الطول: ١١٫١ سم</t>
        </is>
      </c>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is>
          <t>https://mia.nadimfoundation.org/q19400-3</t>
        </is>
      </c>
      <c r="AT102" s="3">
        <f>IMAGE("https://api.qrserver.com/v1/create-qr-code/?size=300x300&amp;margin=8&amp;color=06444C&amp;bgcolor=EAE8D8&amp;data="&amp;ENCODEURL(AS102))</f>
        <v/>
      </c>
      <c r="AU102" s="3" t="inlineStr">
        <is>
          <t>Registered December 14, 1957</t>
        </is>
      </c>
      <c r="AV102" s="3" t="inlineStr">
        <is>
          <t>سجل فى ١٤ ديسمبر ١٩٥٧</t>
        </is>
      </c>
      <c r="AW102" s="3" t="inlineStr">
        <is>
          <t>Purchased from the poet Muhammad ‘Abd al-Rahim</t>
        </is>
      </c>
      <c r="AX102" s="3" t="inlineStr">
        <is>
          <t>مشترى من الشاعر محمد عبد الرحيم</t>
        </is>
      </c>
      <c r="AY102" s="3" t="inlineStr"/>
      <c r="AZ102" s="3" t="inlineStr">
        <is>
          <t>214</t>
        </is>
      </c>
    </row>
    <row r="103">
      <c r="A103" s="3" t="inlineStr">
        <is>
          <t>20660-1</t>
        </is>
      </c>
      <c r="B103" s="3" t="inlineStr">
        <is>
          <t>Inv. no. 20660/1</t>
        </is>
      </c>
      <c r="C103" s="3" t="inlineStr">
        <is>
          <t>Double-Sided Comb</t>
        </is>
      </c>
      <c r="D103" s="3" t="inlineStr">
        <is>
          <t>مشط ذو أسنان من الجانبين</t>
        </is>
      </c>
      <c r="E103" s="3" t="inlineStr"/>
      <c r="F103" s="3" t="inlineStr"/>
      <c r="G103" s="3" t="inlineStr">
        <is>
          <t>Wooden comb, partially preserved, with inscriptions on both sides set within round cartouches, flanked by decorative medallions and rings-and-dots; one face bears the word al-‘arraf (“the diviner”), the other lafit (“the striking one”).</t>
        </is>
      </c>
      <c r="H103" s="3" t="inlineStr">
        <is>
          <t>مشط خشبى يحتفظ بهيئته، يحمل نقوشا كتابية على الوجهين داخل خراطيش دائرية، تحيط بها جامات وزخارف من طراز الحلقة والنقطة. يحمل أحد الوجهين كلمة «العراف» (أى المنجم أو المتنبئ)، ويحمل الوجه الآخر كلمة «لافت» (بمعنى لافت الأنظار).</t>
        </is>
      </c>
      <c r="I103" s="3" t="inlineStr"/>
      <c r="J103" s="3" t="inlineStr"/>
      <c r="K103" s="3" t="inlineStr">
        <is>
          <t>W: 8.7 cm; H: 8.5 cm</t>
        </is>
      </c>
      <c r="L103" s="3" t="inlineStr">
        <is>
          <t>العرض: ٨٫٧ سم، الطول: ٨٫٥ سم</t>
        </is>
      </c>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is>
          <t>https://mia.nadimfoundation.org/q20660-1</t>
        </is>
      </c>
      <c r="AT103" s="3">
        <f>IMAGE("https://api.qrserver.com/v1/create-qr-code/?size=300x300&amp;margin=8&amp;color=06444C&amp;bgcolor=EAE8D8&amp;data="&amp;ENCODEURL(AS103))</f>
        <v/>
      </c>
      <c r="AU103" s="3" t="inlineStr">
        <is>
          <t>Registered January 1, 1959</t>
        </is>
      </c>
      <c r="AV103" s="3" t="inlineStr">
        <is>
          <t>سجل فى ١ يناير ١٩٥٩</t>
        </is>
      </c>
      <c r="AW103" s="3" t="inlineStr"/>
      <c r="AX103" s="3" t="inlineStr"/>
      <c r="AY103" s="3" t="inlineStr"/>
      <c r="AZ103" s="3" t="inlineStr">
        <is>
          <t>215</t>
        </is>
      </c>
    </row>
    <row r="104">
      <c r="A104" s="3" t="inlineStr">
        <is>
          <t>20660-2</t>
        </is>
      </c>
      <c r="B104" s="3" t="inlineStr">
        <is>
          <t>Inv. no. 20660/2</t>
        </is>
      </c>
      <c r="C104" s="3" t="inlineStr">
        <is>
          <t>Double-Sided Comb</t>
        </is>
      </c>
      <c r="D104" s="3" t="inlineStr">
        <is>
          <t>مشط ذو أسنان من الجانبين</t>
        </is>
      </c>
      <c r="E104" s="3" t="inlineStr"/>
      <c r="F104" s="3" t="inlineStr"/>
      <c r="G104" s="3" t="inlineStr">
        <is>
          <t>Wooden comb, partially preserved, with an incomplete inscription on both sides in two registers, with interspersed ring-and-dot motifs.</t>
        </is>
      </c>
      <c r="H104" s="3" t="inlineStr">
        <is>
          <t>جزء من مشط خشبى، يحمل نقوشا كتابية غير مكتملة على الوجهين، وتقع الكتابات داخل شريطين، وتتخللها زخارف الحلقة والنقطة المميزة.</t>
        </is>
      </c>
      <c r="I104" s="3" t="inlineStr"/>
      <c r="J104" s="3" t="inlineStr"/>
      <c r="K104" s="3" t="inlineStr">
        <is>
          <t>W: 7.5 cm; H: 9.3 cm</t>
        </is>
      </c>
      <c r="L104" s="3" t="inlineStr">
        <is>
          <t>العرض: ٧٫٥ سم، الطول: ٩٫٣ سم</t>
        </is>
      </c>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is>
          <t>https://mia.nadimfoundation.org/q20660-2</t>
        </is>
      </c>
      <c r="AT104" s="3">
        <f>IMAGE("https://api.qrserver.com/v1/create-qr-code/?size=300x300&amp;margin=8&amp;color=06444C&amp;bgcolor=EAE8D8&amp;data="&amp;ENCODEURL(AS104))</f>
        <v/>
      </c>
      <c r="AU104" s="3" t="inlineStr">
        <is>
          <t>Registered January 1, 1959</t>
        </is>
      </c>
      <c r="AV104" s="3" t="inlineStr">
        <is>
          <t>سجل فى ١ يناير ١٩٥٩</t>
        </is>
      </c>
      <c r="AW104" s="3" t="inlineStr"/>
      <c r="AX104" s="3" t="inlineStr"/>
      <c r="AY104" s="3" t="inlineStr"/>
      <c r="AZ104" s="3" t="inlineStr">
        <is>
          <t>216</t>
        </is>
      </c>
    </row>
    <row r="105">
      <c r="A105" s="3" t="inlineStr">
        <is>
          <t>21520-1</t>
        </is>
      </c>
      <c r="B105" s="3" t="inlineStr">
        <is>
          <t>Inv. no. 21520/1</t>
        </is>
      </c>
      <c r="C105" s="3" t="inlineStr">
        <is>
          <t>Double-Sided Comb</t>
        </is>
      </c>
      <c r="D105" s="3" t="inlineStr">
        <is>
          <t>مشط ذو أسنان من الجانبين</t>
        </is>
      </c>
      <c r="E105" s="3" t="inlineStr"/>
      <c r="F105" s="3" t="inlineStr"/>
      <c r="G105" s="3" t="inlineStr">
        <is>
          <t>Half of a wooden comb, with part of a cursive inscription located in a central cartouche and another along the surviving edge, set within a decorative medallion.</t>
        </is>
      </c>
      <c r="H105" s="3" t="inlineStr">
        <is>
          <t>نصف مشط خشبى عليه جزء من نقش مكتوب بخط متصل داخل خرطوشة مركزية، ونقش آخر على طول الحافة، داخل جامة مزخرفة.</t>
        </is>
      </c>
      <c r="I105" s="3" t="inlineStr"/>
      <c r="J105" s="3" t="inlineStr"/>
      <c r="K105" s="3" t="inlineStr">
        <is>
          <t>W: 4.2 cm; H: 8.2 cm</t>
        </is>
      </c>
      <c r="L105" s="3" t="inlineStr">
        <is>
          <t>العرض: ٤٫٢ سم، الطول: ٨٫٢ سم</t>
        </is>
      </c>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is>
          <t>https://mia.nadimfoundation.org/q21520-1</t>
        </is>
      </c>
      <c r="AT105" s="3">
        <f>IMAGE("https://api.qrserver.com/v1/create-qr-code/?size=300x300&amp;margin=8&amp;color=06444C&amp;bgcolor=EAE8D8&amp;data="&amp;ENCODEURL(AS105))</f>
        <v/>
      </c>
      <c r="AU105" s="3" t="inlineStr">
        <is>
          <t>Registered November 18, 1959</t>
        </is>
      </c>
      <c r="AV105" s="3" t="inlineStr">
        <is>
          <t>سجل فى ١٨ نوفمبر ١٩٥٩</t>
        </is>
      </c>
      <c r="AW105" s="3" t="inlineStr"/>
      <c r="AX105" s="3" t="inlineStr"/>
      <c r="AY105" s="3" t="inlineStr"/>
      <c r="AZ105" s="3" t="inlineStr">
        <is>
          <t>217</t>
        </is>
      </c>
    </row>
    <row r="106">
      <c r="A106" s="3" t="inlineStr">
        <is>
          <t>21520-2</t>
        </is>
      </c>
      <c r="B106" s="3" t="inlineStr">
        <is>
          <t>Inv. no. 21520/2</t>
        </is>
      </c>
      <c r="C106" s="3" t="inlineStr">
        <is>
          <t>Double-Sided Comb</t>
        </is>
      </c>
      <c r="D106" s="3" t="inlineStr">
        <is>
          <t>مشط ثنائى الجانب</t>
        </is>
      </c>
      <c r="E106" s="3" t="inlineStr"/>
      <c r="F106" s="3" t="inlineStr"/>
      <c r="G106" s="3" t="inlineStr">
        <is>
          <t>Wooden comb, partially preserved, with inscriptions in medallions and ring-and-dot motifs along the central band and edges.</t>
        </is>
      </c>
      <c r="H106" s="3" t="inlineStr">
        <is>
          <t>جزء من مشط خشبى، تزينه نقوش كتابية داخل جامات دائرية، وزخارف الحلقة والنقطة تمتد على الشريط الأوسط والحواف.</t>
        </is>
      </c>
      <c r="I106" s="3" t="inlineStr"/>
      <c r="J106" s="3" t="inlineStr"/>
      <c r="K106" s="3" t="inlineStr">
        <is>
          <t>W: 4.1 cm; H: 9.5 cm</t>
        </is>
      </c>
      <c r="L106" s="3" t="inlineStr">
        <is>
          <t>العرض: ٤٫١ سم، الطول: ٩٫٥ سم</t>
        </is>
      </c>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is>
          <t>https://mia.nadimfoundation.org/q21520-2</t>
        </is>
      </c>
      <c r="AT106" s="3">
        <f>IMAGE("https://api.qrserver.com/v1/create-qr-code/?size=300x300&amp;margin=8&amp;color=06444C&amp;bgcolor=EAE8D8&amp;data="&amp;ENCODEURL(AS106))</f>
        <v/>
      </c>
      <c r="AU106" s="3" t="inlineStr">
        <is>
          <t>Registered November 18, 1959</t>
        </is>
      </c>
      <c r="AV106" s="3" t="inlineStr">
        <is>
          <t>سجل فى ١٨ نوفمبر ١٩٥٩</t>
        </is>
      </c>
      <c r="AW106" s="3" t="inlineStr"/>
      <c r="AX106" s="3" t="inlineStr"/>
      <c r="AY106" s="3" t="inlineStr"/>
      <c r="AZ106" s="3" t="inlineStr">
        <is>
          <t>218</t>
        </is>
      </c>
    </row>
    <row r="107">
      <c r="A107" s="3" t="inlineStr">
        <is>
          <t>21520-3</t>
        </is>
      </c>
      <c r="B107" s="3" t="inlineStr">
        <is>
          <t>Inv. no. 21520/3</t>
        </is>
      </c>
      <c r="C107" s="3" t="inlineStr">
        <is>
          <t>Double-Sided Comb</t>
        </is>
      </c>
      <c r="D107" s="3" t="inlineStr">
        <is>
          <t>مشط ذو أسنان من الجانبين</t>
        </is>
      </c>
      <c r="E107" s="3" t="inlineStr"/>
      <c r="F107" s="3" t="inlineStr"/>
      <c r="G107" s="3" t="inlineStr">
        <is>
          <t>Wooden comb with an inscription in a central cartouche, flanked by decorative medallions and rings-and-dots.</t>
        </is>
      </c>
      <c r="H107" s="3" t="inlineStr">
        <is>
          <t>مشط خشبى يتوسطه نقش كتابى داخل خرطوشة مركزية، تحف به جامات وزخارف الحلقة والنقطة.</t>
        </is>
      </c>
      <c r="I107" s="3" t="inlineStr"/>
      <c r="J107" s="3" t="inlineStr"/>
      <c r="K107" s="3" t="inlineStr">
        <is>
          <t>W: 3.9 cm; H: 7.7 cm</t>
        </is>
      </c>
      <c r="L107" s="3" t="inlineStr">
        <is>
          <t>العرض: ٣٫٩ سم، الطول: ٧٫٧ سم</t>
        </is>
      </c>
      <c r="M107" s="3" t="inlineStr"/>
      <c r="N107" s="3" t="inlineStr"/>
      <c r="O107" s="3" t="inlineStr"/>
      <c r="P107" s="3" t="inlineStr"/>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c r="AR107" s="3" t="inlineStr"/>
      <c r="AS107" s="3" t="inlineStr">
        <is>
          <t>https://mia.nadimfoundation.org/q21520-3</t>
        </is>
      </c>
      <c r="AT107" s="3">
        <f>IMAGE("https://api.qrserver.com/v1/create-qr-code/?size=300x300&amp;margin=8&amp;color=06444C&amp;bgcolor=EAE8D8&amp;data="&amp;ENCODEURL(AS107))</f>
        <v/>
      </c>
      <c r="AU107" s="3" t="inlineStr">
        <is>
          <t>Registered November 18, 1959</t>
        </is>
      </c>
      <c r="AV107" s="3" t="inlineStr">
        <is>
          <t>سجل فى ١٨ نوفمبر ١٩٥٩</t>
        </is>
      </c>
      <c r="AW107" s="3" t="inlineStr"/>
      <c r="AX107" s="3" t="inlineStr"/>
      <c r="AY107" s="3" t="inlineStr"/>
      <c r="AZ107" s="3" t="inlineStr">
        <is>
          <t>219</t>
        </is>
      </c>
    </row>
    <row r="108">
      <c r="A108" s="3" t="inlineStr">
        <is>
          <t>21520-4</t>
        </is>
      </c>
      <c r="B108" s="3" t="inlineStr">
        <is>
          <t>Inv. no. 21520/4</t>
        </is>
      </c>
      <c r="C108" s="3" t="inlineStr">
        <is>
          <t>Double-Sided Comb</t>
        </is>
      </c>
      <c r="D108" s="3" t="inlineStr">
        <is>
          <t>مشط ذو أسنان من الجانبين</t>
        </is>
      </c>
      <c r="E108" s="3" t="inlineStr"/>
      <c r="F108" s="3" t="inlineStr"/>
      <c r="G108" s="3" t="inlineStr">
        <is>
          <t>Wooden comb, partially preserved, with an inscription in the central band interrupted by a medallion bearing a napkin (buqja), representing the rank of the master of robes (jamdar) during the Mamluk period, all flanked by rings-and-dots.</t>
        </is>
      </c>
      <c r="H108" s="3" t="inlineStr">
        <is>
          <t>مشط خشبى يحتفظ بهيئته، يحمل فى الشريط الأوسط كتابة تتخللها جامة، ويحمل أحد وجهيها كلمة «عز» وتتوسطها صورة منديل (بقجة)، فى إشارة إلى رتبة مسؤول الملابس (الجمدار) فى العصر المملوكى، وتحيط بها زخارف الحلقة والنقطة.</t>
        </is>
      </c>
      <c r="I108" s="3" t="inlineStr"/>
      <c r="J108" s="3" t="inlineStr"/>
      <c r="K108" s="3" t="inlineStr">
        <is>
          <t>W: 6 cm; H: 6.5 cm</t>
        </is>
      </c>
      <c r="L108" s="3" t="inlineStr">
        <is>
          <t>العرض: ٦ سم، الطول: ٦٫٥ سم</t>
        </is>
      </c>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is>
          <t>https://mia.nadimfoundation.org/q21520-4</t>
        </is>
      </c>
      <c r="AT108" s="3">
        <f>IMAGE("https://api.qrserver.com/v1/create-qr-code/?size=300x300&amp;margin=8&amp;color=06444C&amp;bgcolor=EAE8D8&amp;data="&amp;ENCODEURL(AS108))</f>
        <v/>
      </c>
      <c r="AU108" s="3" t="inlineStr">
        <is>
          <t>Registered November 18, 1959</t>
        </is>
      </c>
      <c r="AV108" s="3" t="inlineStr">
        <is>
          <t>سجل فى ١٨ نوفمبر ١٩٥٩</t>
        </is>
      </c>
      <c r="AW108" s="3" t="inlineStr"/>
      <c r="AX108" s="3" t="inlineStr"/>
      <c r="AY108" s="3" t="inlineStr"/>
      <c r="AZ108" s="3" t="inlineStr">
        <is>
          <t>220</t>
        </is>
      </c>
    </row>
    <row r="109">
      <c r="A109" s="3" t="inlineStr">
        <is>
          <t>21520-5</t>
        </is>
      </c>
      <c r="B109" s="3" t="inlineStr">
        <is>
          <t>Inv. no. 21520/5</t>
        </is>
      </c>
      <c r="C109" s="3" t="inlineStr">
        <is>
          <t>Double-Sided Comb</t>
        </is>
      </c>
      <c r="D109" s="3" t="inlineStr">
        <is>
          <t>مشط ذو أسنان من الجانبين</t>
        </is>
      </c>
      <c r="E109" s="3" t="inlineStr"/>
      <c r="F109" s="3" t="inlineStr"/>
      <c r="G109" s="3" t="inlineStr">
        <is>
          <t>Wooden comb, partially preserved, with inscriptions on either face and along the surviving edge, set within decorative medallions.</t>
        </is>
      </c>
      <c r="H109" s="3" t="inlineStr">
        <is>
          <t>مشط خشبى يحتفظ بهيئته، يحمل كتابة على وجهيه وعلى الحرف المتبقى، داخل جامات مزخرفة.</t>
        </is>
      </c>
      <c r="I109" s="3" t="inlineStr"/>
      <c r="J109" s="3" t="inlineStr"/>
      <c r="K109" s="3" t="inlineStr">
        <is>
          <t>W: 6 cm; H: 5.2 cm</t>
        </is>
      </c>
      <c r="L109" s="3" t="inlineStr">
        <is>
          <t>العرض: ٦ سم، الطول: ٥٫٢ سم</t>
        </is>
      </c>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is>
          <t>https://mia.nadimfoundation.org/q21520-5</t>
        </is>
      </c>
      <c r="AT109" s="3">
        <f>IMAGE("https://api.qrserver.com/v1/create-qr-code/?size=300x300&amp;margin=8&amp;color=06444C&amp;bgcolor=EAE8D8&amp;data="&amp;ENCODEURL(AS109))</f>
        <v/>
      </c>
      <c r="AU109" s="3" t="inlineStr">
        <is>
          <t>Registered November 18, 1959</t>
        </is>
      </c>
      <c r="AV109" s="3" t="inlineStr">
        <is>
          <t>سجل فى ١٨ نوفمبر ١٩٥٩</t>
        </is>
      </c>
      <c r="AW109" s="3" t="inlineStr"/>
      <c r="AX109" s="3" t="inlineStr"/>
      <c r="AY109" s="3" t="inlineStr"/>
      <c r="AZ109" s="3" t="inlineStr">
        <is>
          <t>221</t>
        </is>
      </c>
    </row>
    <row r="110">
      <c r="A110" s="3" t="inlineStr">
        <is>
          <t>21520-6</t>
        </is>
      </c>
      <c r="B110" s="3" t="inlineStr">
        <is>
          <t>Inv. no. 21520/6</t>
        </is>
      </c>
      <c r="C110" s="3" t="inlineStr">
        <is>
          <t>Double-Sided Comb</t>
        </is>
      </c>
      <c r="D110" s="3" t="inlineStr">
        <is>
          <t>مشط ذو أسنان من الجانبين</t>
        </is>
      </c>
      <c r="E110" s="3" t="inlineStr"/>
      <c r="F110" s="3" t="inlineStr"/>
      <c r="G110" s="3" t="inlineStr">
        <is>
          <t>Wooden comb, partially preserved, with inscriptions set within decorative medallions along both faces and the surviving edge.</t>
        </is>
      </c>
      <c r="H110" s="3" t="inlineStr">
        <is>
          <t>مشط خشبى يحتفظ بهيئته، يحمل كتابات داخل جامات مزخرفة على كلا الوجهين وعلى بقايا الحافة.</t>
        </is>
      </c>
      <c r="I110" s="3" t="inlineStr"/>
      <c r="J110" s="3" t="inlineStr"/>
      <c r="K110" s="3" t="inlineStr">
        <is>
          <t>W: 4.1 cm; H: 7.8 cm</t>
        </is>
      </c>
      <c r="L110" s="3" t="inlineStr">
        <is>
          <t>العرض: ٤٫١ سم، الطول: ٧٫٨ سم</t>
        </is>
      </c>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is>
          <t>https://mia.nadimfoundation.org/q21520-6</t>
        </is>
      </c>
      <c r="AT110" s="3">
        <f>IMAGE("https://api.qrserver.com/v1/create-qr-code/?size=300x300&amp;margin=8&amp;color=06444C&amp;bgcolor=EAE8D8&amp;data="&amp;ENCODEURL(AS110))</f>
        <v/>
      </c>
      <c r="AU110" s="3" t="inlineStr">
        <is>
          <t>Registered November 18, 1959</t>
        </is>
      </c>
      <c r="AV110" s="3" t="inlineStr">
        <is>
          <t>سجل فى ١٨ نوفمبر ١٩٥٩</t>
        </is>
      </c>
      <c r="AW110" s="3" t="inlineStr"/>
      <c r="AX110" s="3" t="inlineStr"/>
      <c r="AY110" s="3" t="inlineStr"/>
      <c r="AZ110" s="3" t="inlineStr">
        <is>
          <t>221</t>
        </is>
      </c>
    </row>
    <row r="111">
      <c r="A111" s="3" t="inlineStr">
        <is>
          <t>21618-2</t>
        </is>
      </c>
      <c r="B111" s="3" t="inlineStr">
        <is>
          <t>Inv. no. 21618/2</t>
        </is>
      </c>
      <c r="C111" s="3" t="inlineStr">
        <is>
          <t>Double-Sided Comb</t>
        </is>
      </c>
      <c r="D111" s="3" t="inlineStr">
        <is>
          <t>مشط ذو أسنان من الجانبين</t>
        </is>
      </c>
      <c r="E111" s="3" t="inlineStr"/>
      <c r="F111" s="3" t="inlineStr"/>
      <c r="G111" s="3" t="inlineStr">
        <is>
          <t>Wooden comb, partially preserved, with a central cartouche inscribed with an inscription in naskh with the partially legible word rafi‘ (“fine” or “exalted”). on one face, and decorative rings-and-dots.</t>
        </is>
      </c>
      <c r="H111" s="3" t="inlineStr">
        <is>
          <t>جزء من مشط خشبى، تتوسطه خرطوشة تحمل كتابة بخط النسخ لكلمة «رفيع»، وهى مقروءة بشكل جزئى على أحد الوجهين، وتحيط بها وحدات من زخارف الحلقة والنقطة.</t>
        </is>
      </c>
      <c r="I111" s="3" t="inlineStr"/>
      <c r="J111" s="3" t="inlineStr"/>
      <c r="K111" s="3" t="inlineStr">
        <is>
          <t>W: 5.3 cm; H: 8.5 cm</t>
        </is>
      </c>
      <c r="L111" s="3" t="inlineStr">
        <is>
          <t>العرض: ٥٫٣ سم، الطول: ٨٫٥ سم</t>
        </is>
      </c>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is>
          <t>https://mia.nadimfoundation.org/q21618-2</t>
        </is>
      </c>
      <c r="AT111" s="3">
        <f>IMAGE("https://api.qrserver.com/v1/create-qr-code/?size=300x300&amp;margin=8&amp;color=06444C&amp;bgcolor=EAE8D8&amp;data="&amp;ENCODEURL(AS111))</f>
        <v/>
      </c>
      <c r="AU111" s="3" t="inlineStr"/>
      <c r="AV111" s="3" t="inlineStr"/>
      <c r="AW111" s="3" t="inlineStr"/>
      <c r="AX111" s="3" t="inlineStr"/>
      <c r="AY111" s="3" t="inlineStr"/>
      <c r="AZ111" s="3" t="inlineStr">
        <is>
          <t>222</t>
        </is>
      </c>
    </row>
    <row r="112">
      <c r="A112" s="3" t="inlineStr">
        <is>
          <t>23497</t>
        </is>
      </c>
      <c r="B112" s="3" t="inlineStr">
        <is>
          <t>Inv. no. 23497</t>
        </is>
      </c>
      <c r="C112" s="3" t="inlineStr">
        <is>
          <t>Double-Sided Comb</t>
        </is>
      </c>
      <c r="D112" s="3" t="inlineStr">
        <is>
          <t>مشط ذو أسنان من الجانبين</t>
        </is>
      </c>
      <c r="E112" s="3" t="inlineStr">
        <is>
          <t>From excavations in al-Fustat</t>
        </is>
      </c>
      <c r="F112" s="3" t="inlineStr">
        <is>
          <t>من حفائر الفسطاط</t>
        </is>
      </c>
      <c r="G112" s="3" t="inlineStr">
        <is>
          <t>Wooden hair comb, double-sided, with one row of coarse teeth and another of fine teeth. A central band separates the two rows, bearing inscriptions on both faces. One side reads: “The most noble lord”, while the other names “Nasir al-Din Muhammad”. Circular medallions appear at the end of the band, forming the common dedicatory phrase, “Eternal Glory”, bordered by an arrangement of rings-and-dots.</t>
        </is>
      </c>
      <c r="H112" s="3" t="inlineStr">
        <is>
          <t>مشط شعر خشبى ذو أسنان من الجانبين، يضم صفا من الأسنان العريضة من ناحية، وصفا آخر من الأسنان الدقيقة من الناحية الأخرى. ويفصل بينهما شريط كتابى فى المنتصف على الوجهين، يقرأ على أحدهما: «بسم الواحد الأحد»، بينما يذكر على الآخر «ناصر الدين محمد». ويحمل طرفا المشط جامتين دائريتين تكملان صيغة الإهداء الشائعة، إحداهما تحمل كلمة «عز»، والأخرى تحمل كلمة «دائم»، وتحيط بهما زخارف مرتبة من حلقات ونقاط.</t>
        </is>
      </c>
      <c r="I112" s="3" t="inlineStr"/>
      <c r="J112" s="3" t="inlineStr"/>
      <c r="K112" s="3" t="inlineStr">
        <is>
          <t>W: 9.5 cm; H: 7.7 cm</t>
        </is>
      </c>
      <c r="L112" s="3" t="inlineStr">
        <is>
          <t>العرض: ٩٫٥ سم، الطول: ٧٫٧ سم</t>
        </is>
      </c>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is>
          <t>https://mia.nadimfoundation.org/q23497</t>
        </is>
      </c>
      <c r="AT112" s="3">
        <f>IMAGE("https://api.qrserver.com/v1/create-qr-code/?size=300x300&amp;margin=8&amp;color=06444C&amp;bgcolor=EAE8D8&amp;data="&amp;ENCODEURL(AS112))</f>
        <v/>
      </c>
      <c r="AU112" s="3" t="inlineStr">
        <is>
          <t>Registered February 24, 1966</t>
        </is>
      </c>
      <c r="AV112" s="3" t="inlineStr">
        <is>
          <t>سجل فى ٢٤ فبراير ١٩٦٦</t>
        </is>
      </c>
      <c r="AW112" s="3" t="inlineStr"/>
      <c r="AX112" s="3" t="inlineStr"/>
      <c r="AY112" s="3" t="inlineStr"/>
      <c r="AZ112" s="3" t="inlineStr">
        <is>
          <t>223</t>
        </is>
      </c>
    </row>
    <row r="113">
      <c r="A113" s="3" t="inlineStr">
        <is>
          <t>4926</t>
        </is>
      </c>
      <c r="B113" s="3" t="inlineStr">
        <is>
          <t>Inv. no. 4926</t>
        </is>
      </c>
      <c r="C113" s="3" t="inlineStr">
        <is>
          <t>Double-Sided Comb</t>
        </is>
      </c>
      <c r="D113" s="3" t="inlineStr">
        <is>
          <t>مشط ذو أسنان من الجانبين</t>
        </is>
      </c>
      <c r="E113" s="3" t="inlineStr">
        <is>
          <t>From the ruins of al-Fustat</t>
        </is>
      </c>
      <c r="F113" s="3" t="inlineStr">
        <is>
          <t>من آثار الفسطاط</t>
        </is>
      </c>
      <c r="G113" s="3" t="inlineStr">
        <is>
          <t>Fragment of a wooden comb with an inscription along the edge which bears the name: “Sayf al-Din Baktimur al-Silahdar”, and half of a central rank bearing the symbol of the sword-bearer (silahdar).</t>
        </is>
      </c>
      <c r="H113" s="3" t="inlineStr">
        <is>
          <t>جزء من مشط خشبى بنقش على الحافة يحمل اسم: «سيف الدين بكتمر السلحدار» مع نصف رنك فى المنتصف يرمز لرتبة حامل السلاح (السلحدار). وكان صاحب القطعة، الأمير سيف الدين بكتمر السلحدار (توفى ٧٣٣ هـ / ١٣٣٣ م)، أحد أبرز الشخصيات فى فترة الحكم الثالثة للسلطان الناصر محمد بن قلاوون، وتتناسب دقة الحفر فى هذه القطعة، خاصة على حافتها الرقيقة جدا، مع مكانته الرفيعة بين النخبة المملوكية.</t>
        </is>
      </c>
      <c r="I113" s="3" t="inlineStr">
        <is>
          <t>Bahri Mamluk, 668-733 AH / 1270s-1333 CE</t>
        </is>
      </c>
      <c r="J113" s="3" t="inlineStr">
        <is>
          <t>مملوكى بحرى، ١٢٥٠-١٥١٧ م</t>
        </is>
      </c>
      <c r="K113" s="3" t="inlineStr">
        <is>
          <t>W: 4.4 cm; H: 9.1 cm</t>
        </is>
      </c>
      <c r="L113" s="3" t="inlineStr">
        <is>
          <t>العرض: ٤٫٤ سم، الطول: ٩٫١ سم</t>
        </is>
      </c>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is>
          <t>https://mia.nadimfoundation.org/q4926</t>
        </is>
      </c>
      <c r="AT113" s="3">
        <f>IMAGE("https://api.qrserver.com/v1/create-qr-code/?size=300x300&amp;margin=8&amp;color=06444C&amp;bgcolor=EAE8D8&amp;data="&amp;ENCODEURL(AS113))</f>
        <v/>
      </c>
      <c r="AU113" s="3" t="inlineStr"/>
      <c r="AV113" s="3" t="inlineStr"/>
      <c r="AW113" s="3" t="inlineStr"/>
      <c r="AX113" s="3" t="inlineStr"/>
      <c r="AY113" s="3" t="inlineStr"/>
      <c r="AZ113" s="3" t="inlineStr">
        <is>
          <t>226</t>
        </is>
      </c>
    </row>
    <row r="114">
      <c r="A114" s="3" t="inlineStr">
        <is>
          <t>8199</t>
        </is>
      </c>
      <c r="B114" s="3" t="inlineStr">
        <is>
          <t>Inv. no. 8199</t>
        </is>
      </c>
      <c r="C114" s="3" t="inlineStr">
        <is>
          <t>Double-Sided Comb</t>
        </is>
      </c>
      <c r="D114" s="3" t="inlineStr">
        <is>
          <t>مشط ذو أسنان من الجانبين</t>
        </is>
      </c>
      <c r="E114" s="3" t="inlineStr"/>
      <c r="F114" s="3" t="inlineStr"/>
      <c r="G114" s="3" t="inlineStr">
        <is>
          <t>Wooden comb, partially preserved, with openwork decoration and a central rank bearing the cup of the cup-bearer (saqi). The sides bear a partially-preserved inscription in naskh, carved in relief.</t>
        </is>
      </c>
      <c r="H114" s="3" t="inlineStr">
        <is>
          <t>مشط خشبى يحتفظ بهيئته، عليه زخارف مفرغة وجامة مركزية تحمل رنكا برتبة كأس الساقى، ويظهر على جانبى المشط بقايا نقوش بارزة بخط النسخ.</t>
        </is>
      </c>
      <c r="I114" s="3" t="inlineStr">
        <is>
          <t>Mamluk, 648-923 AH / 1250-1517 CE</t>
        </is>
      </c>
      <c r="J114" s="3" t="inlineStr">
        <is>
          <t>مملوكى، ٦٤٨-٩٢٣ هـ / ١٢٥٠-١٥١٧ م</t>
        </is>
      </c>
      <c r="K114" s="3" t="inlineStr">
        <is>
          <t>W: 3.2 cm; H: 9 cm</t>
        </is>
      </c>
      <c r="L114" s="3" t="inlineStr">
        <is>
          <t>العرض: ٣٫٢ سم، الطول: ٩ سم</t>
        </is>
      </c>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is>
          <t>https://mia.nadimfoundation.org/q8199</t>
        </is>
      </c>
      <c r="AT114" s="3">
        <f>IMAGE("https://api.qrserver.com/v1/create-qr-code/?size=300x300&amp;margin=8&amp;color=06444C&amp;bgcolor=EAE8D8&amp;data="&amp;ENCODEURL(AS114))</f>
        <v/>
      </c>
      <c r="AU114" s="3" t="inlineStr">
        <is>
          <t>Registered June 24, 1928</t>
        </is>
      </c>
      <c r="AV114" s="3" t="inlineStr">
        <is>
          <t>سجل فى ٢٤ يونيو ١٩٢٨</t>
        </is>
      </c>
      <c r="AW114" s="3" t="inlineStr">
        <is>
          <t>Purchased from al-Haj ‘Abd al-Ghaffar</t>
        </is>
      </c>
      <c r="AX114" s="3" t="inlineStr">
        <is>
          <t>مشترى من الحاج عبد الغفار</t>
        </is>
      </c>
      <c r="AY114" s="3" t="inlineStr"/>
      <c r="AZ114" s="3" t="inlineStr">
        <is>
          <t>227</t>
        </is>
      </c>
    </row>
    <row r="115">
      <c r="A115" s="3" t="inlineStr">
        <is>
          <t>18762-1</t>
        </is>
      </c>
      <c r="B115" s="3" t="inlineStr">
        <is>
          <t>Inv. no. 18762/1</t>
        </is>
      </c>
      <c r="C115" s="3" t="inlineStr">
        <is>
          <t>Double-Sided Comb</t>
        </is>
      </c>
      <c r="D115" s="3" t="inlineStr">
        <is>
          <t>مشط ذو أسنان من الجانبين</t>
        </is>
      </c>
      <c r="E115" s="3" t="inlineStr"/>
      <c r="F115" s="3" t="inlineStr"/>
      <c r="G115" s="3" t="inlineStr">
        <is>
          <t>Wooden comb, partially preserved, with a central rank bearing the napkin (buqja) of the master of robes (jamdar).</t>
        </is>
      </c>
      <c r="H115" s="3" t="inlineStr">
        <is>
          <t>مشط خشبى يحتفظ بهيئته، مع رنك فى المنتصف يحمل رمز المنديل (البقجة) الذى يرمز إلى مسؤول الملابس (الجمدار).</t>
        </is>
      </c>
      <c r="I115" s="3" t="inlineStr">
        <is>
          <t>Mamluk, 648-923 AH / 1250-1517 CE</t>
        </is>
      </c>
      <c r="J115" s="3" t="inlineStr">
        <is>
          <t>مملوكى، ٦٤٨-٩٢٣ هـ / ١٢٥٠-١٥١٧ م</t>
        </is>
      </c>
      <c r="K115" s="3" t="inlineStr">
        <is>
          <t>W: 3.2 cm; H: 6 cm</t>
        </is>
      </c>
      <c r="L115" s="3" t="inlineStr">
        <is>
          <t>العرض: ٣٫٢ سم، الطول: ٦ سم</t>
        </is>
      </c>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is>
          <t>https://mia.nadimfoundation.org/q18762-1</t>
        </is>
      </c>
      <c r="AT115" s="3">
        <f>IMAGE("https://api.qrserver.com/v1/create-qr-code/?size=300x300&amp;margin=8&amp;color=06444C&amp;bgcolor=EAE8D8&amp;data="&amp;ENCODEURL(AS115))</f>
        <v/>
      </c>
      <c r="AU115" s="3" t="inlineStr">
        <is>
          <t>Registered March 6, 1957</t>
        </is>
      </c>
      <c r="AV115" s="3" t="inlineStr">
        <is>
          <t>سجل فى ٦ مارس ١٩٥٧</t>
        </is>
      </c>
      <c r="AW115" s="3" t="inlineStr">
        <is>
          <t>Submitted by Dr. Muhammad Mustafa</t>
        </is>
      </c>
      <c r="AX115" s="3" t="inlineStr">
        <is>
          <t>مقدم من الدكتور محمد مصطفى</t>
        </is>
      </c>
      <c r="AY115" s="3" t="inlineStr"/>
      <c r="AZ115" s="3" t="inlineStr">
        <is>
          <t>228</t>
        </is>
      </c>
    </row>
    <row r="116">
      <c r="A116" s="3" t="inlineStr">
        <is>
          <t>18762-2</t>
        </is>
      </c>
      <c r="B116" s="3" t="inlineStr">
        <is>
          <t>Inv. no. 18762/2</t>
        </is>
      </c>
      <c r="C116" s="3" t="inlineStr">
        <is>
          <t>Double-Sided Comb</t>
        </is>
      </c>
      <c r="D116" s="3" t="inlineStr">
        <is>
          <t>مشط ذو أسنان من الجانبين</t>
        </is>
      </c>
      <c r="E116" s="3" t="inlineStr"/>
      <c r="F116" s="3" t="inlineStr"/>
      <c r="G116" s="3" t="inlineStr">
        <is>
          <t>Wooden comb, partially preserved, decorated with medallions and rings-and-dots and possibly a badly-faded rank in the center.</t>
        </is>
      </c>
      <c r="H116" s="3" t="inlineStr">
        <is>
          <t>مشط خشبى يحتفظ بهيئته، مزدان بجامات وزخارف من الحلقات والنقاط، مع احتمال وجود رنك باهت جدا فى المنتصف.</t>
        </is>
      </c>
      <c r="I116" s="3" t="inlineStr">
        <is>
          <t>Mamluk, 648-923 AH / 1250-1517 CE</t>
        </is>
      </c>
      <c r="J116" s="3" t="inlineStr">
        <is>
          <t>مملوكى، ٦٤٨-٩٢٣ هـ / ١٢٥٠-١٥١٧ م</t>
        </is>
      </c>
      <c r="K116" s="3" t="inlineStr">
        <is>
          <t>W: 3.5 cm, H: 8.2 cm</t>
        </is>
      </c>
      <c r="L116" s="3" t="inlineStr">
        <is>
          <t>العرض: ٣٫٥ سم، الطول: ٨٫٢ سم</t>
        </is>
      </c>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is>
          <t>https://mia.nadimfoundation.org/q18762-2</t>
        </is>
      </c>
      <c r="AT116" s="3">
        <f>IMAGE("https://api.qrserver.com/v1/create-qr-code/?size=300x300&amp;margin=8&amp;color=06444C&amp;bgcolor=EAE8D8&amp;data="&amp;ENCODEURL(AS116))</f>
        <v/>
      </c>
      <c r="AU116" s="3" t="inlineStr">
        <is>
          <t>Registered March 6, 1957</t>
        </is>
      </c>
      <c r="AV116" s="3" t="inlineStr">
        <is>
          <t>سجل فى ٦ مارس ١٩٥٧</t>
        </is>
      </c>
      <c r="AW116" s="3" t="inlineStr">
        <is>
          <t>Submitted by Dr. Muhammad Mustafa</t>
        </is>
      </c>
      <c r="AX116" s="3" t="inlineStr">
        <is>
          <t>مقدم من الدكتور محمد مصطفى</t>
        </is>
      </c>
      <c r="AY116" s="3" t="inlineStr"/>
      <c r="AZ116" s="3" t="inlineStr">
        <is>
          <t>229</t>
        </is>
      </c>
    </row>
    <row r="117">
      <c r="A117" s="3" t="inlineStr">
        <is>
          <t>18765-7</t>
        </is>
      </c>
      <c r="B117" s="3" t="inlineStr">
        <is>
          <t>Inv. no. 18765/7</t>
        </is>
      </c>
      <c r="C117" s="3" t="inlineStr">
        <is>
          <t>Double-Sided Comb</t>
        </is>
      </c>
      <c r="D117" s="3" t="inlineStr">
        <is>
          <t>مشط ذو أسنان من الجانبين</t>
        </is>
      </c>
      <c r="E117" s="3" t="inlineStr"/>
      <c r="F117" s="3" t="inlineStr"/>
      <c r="G117" s="3" t="inlineStr">
        <is>
          <t>Wooden comb, partially preserved, with shield-like motifs on both sides.</t>
        </is>
      </c>
      <c r="H117" s="3" t="inlineStr">
        <is>
          <t>مشط خشبى بعض أسنانه (أو أجزاء منها) مفقودة بزخارف على شكل درع على كلا الوجهين.</t>
        </is>
      </c>
      <c r="I117" s="3" t="inlineStr"/>
      <c r="J117" s="3" t="inlineStr"/>
      <c r="K117" s="3" t="inlineStr">
        <is>
          <t>W: 11.5 cm; H: 12 cm</t>
        </is>
      </c>
      <c r="L117" s="3" t="inlineStr">
        <is>
          <t>العرض: ١١٫٥ سم، الطول: ١٢ سم</t>
        </is>
      </c>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is>
          <t>https://mia.nadimfoundation.org/q18765-7</t>
        </is>
      </c>
      <c r="AT117" s="3">
        <f>IMAGE("https://api.qrserver.com/v1/create-qr-code/?size=300x300&amp;margin=8&amp;color=06444C&amp;bgcolor=EAE8D8&amp;data="&amp;ENCODEURL(AS117))</f>
        <v/>
      </c>
      <c r="AU117" s="3" t="inlineStr">
        <is>
          <t>Registered March 6, 1957</t>
        </is>
      </c>
      <c r="AV117" s="3" t="inlineStr">
        <is>
          <t>سجل فى ٦ مارس ١٩٥٧</t>
        </is>
      </c>
      <c r="AW117" s="3" t="inlineStr">
        <is>
          <t>Submitted by Dr. Muhammad Mustafa</t>
        </is>
      </c>
      <c r="AX117" s="3" t="inlineStr">
        <is>
          <t>مقدم من الدكتور محمد مصطفى</t>
        </is>
      </c>
      <c r="AY117" s="3" t="inlineStr"/>
      <c r="AZ117" s="3" t="inlineStr">
        <is>
          <t>232</t>
        </is>
      </c>
    </row>
    <row r="118">
      <c r="A118" s="3" t="inlineStr">
        <is>
          <t>18766-2</t>
        </is>
      </c>
      <c r="B118" s="3" t="inlineStr">
        <is>
          <t>Inv. no. 18766/2</t>
        </is>
      </c>
      <c r="C118" s="3" t="inlineStr">
        <is>
          <t>Double-Sided Comb</t>
        </is>
      </c>
      <c r="D118" s="3" t="inlineStr">
        <is>
          <t>مشط ذو أسنان من الجانبين</t>
        </is>
      </c>
      <c r="E118" s="3" t="inlineStr"/>
      <c r="F118" s="3" t="inlineStr"/>
      <c r="G118" s="3" t="inlineStr">
        <is>
          <t>Wooden comb, partially preserved, carved with intersecting four-petalled medallions on both sides.</t>
        </is>
      </c>
      <c r="H118" s="3" t="inlineStr">
        <is>
          <t>مشط خشبى يحتفظ بهيئته، محفور بزخارف متقاطعة ذات أربع بتلات على كلا الوجهين.</t>
        </is>
      </c>
      <c r="I118" s="3" t="inlineStr"/>
      <c r="J118" s="3" t="inlineStr"/>
      <c r="K118" s="3" t="inlineStr">
        <is>
          <t>W: 10.8 cm; H: 8.9 cm</t>
        </is>
      </c>
      <c r="L118" s="3" t="inlineStr">
        <is>
          <t>العرض: ١٠٫٨ سم، الطول: ٨٫٩ سم</t>
        </is>
      </c>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is>
          <t>https://mia.nadimfoundation.org/q18766-2</t>
        </is>
      </c>
      <c r="AT118" s="3">
        <f>IMAGE("https://api.qrserver.com/v1/create-qr-code/?size=300x300&amp;margin=8&amp;color=06444C&amp;bgcolor=EAE8D8&amp;data="&amp;ENCODEURL(AS118))</f>
        <v/>
      </c>
      <c r="AU118" s="3" t="inlineStr">
        <is>
          <t>Registered March 6, 1957</t>
        </is>
      </c>
      <c r="AV118" s="3" t="inlineStr">
        <is>
          <t>سجل فى ٦ مارس ١٩٥٧</t>
        </is>
      </c>
      <c r="AW118" s="3" t="inlineStr">
        <is>
          <t>Submitted by Dr. Muhammad Mustafa</t>
        </is>
      </c>
      <c r="AX118" s="3" t="inlineStr">
        <is>
          <t>مقدم من الدكتور محمد مصطفى</t>
        </is>
      </c>
      <c r="AY118" s="3" t="inlineStr"/>
      <c r="AZ118" s="3" t="inlineStr">
        <is>
          <t>233</t>
        </is>
      </c>
    </row>
    <row r="119">
      <c r="A119" s="3" t="inlineStr">
        <is>
          <t>4931</t>
        </is>
      </c>
      <c r="B119" s="3" t="inlineStr">
        <is>
          <t>Inv. no. 4931</t>
        </is>
      </c>
      <c r="C119" s="3" t="inlineStr">
        <is>
          <t>Double-Sided Comb</t>
        </is>
      </c>
      <c r="D119" s="3" t="inlineStr">
        <is>
          <t>مشط ذو أسنان من الجانبين</t>
        </is>
      </c>
      <c r="E119" s="3" t="inlineStr">
        <is>
          <t>From the ruins of al-Fustat</t>
        </is>
      </c>
      <c r="F119" s="3" t="inlineStr">
        <is>
          <t>من آثار الفسطاط</t>
        </is>
      </c>
      <c r="G119" s="3" t="inlineStr">
        <is>
          <t>Wooden comb from Fustat, decorated with a large central medallion and prominent ring-and-dot motifs.</t>
        </is>
      </c>
      <c r="H119" s="3" t="inlineStr">
        <is>
          <t>مشط خشبى تتوسطه جامة كبيرة مع زخارف بارزة تتخذ شكل الحلقة والنقطة.</t>
        </is>
      </c>
      <c r="I119" s="3" t="inlineStr"/>
      <c r="J119" s="3" t="inlineStr">
        <is>
          <t>مملوكى، ١٢٥٠-١٥١٧</t>
        </is>
      </c>
      <c r="K119" s="3" t="inlineStr">
        <is>
          <t>W: 7.8 cm, H: 7 cm</t>
        </is>
      </c>
      <c r="L119" s="3" t="inlineStr">
        <is>
          <t>العرض: ٧٫٨ سم، الطول: ٧ سم</t>
        </is>
      </c>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is>
          <t>https://mia.nadimfoundation.org/q4931</t>
        </is>
      </c>
      <c r="AT119" s="3">
        <f>IMAGE("https://api.qrserver.com/v1/create-qr-code/?size=300x300&amp;margin=8&amp;color=06444C&amp;bgcolor=EAE8D8&amp;data="&amp;ENCODEURL(AS119))</f>
        <v/>
      </c>
      <c r="AU119" s="3" t="inlineStr"/>
      <c r="AV119" s="3" t="inlineStr"/>
      <c r="AW119" s="3" t="inlineStr"/>
      <c r="AX119" s="3" t="inlineStr"/>
      <c r="AY119" s="3" t="inlineStr"/>
      <c r="AZ119" s="3" t="inlineStr">
        <is>
          <t>236</t>
        </is>
      </c>
    </row>
    <row r="120">
      <c r="A120" s="3" t="inlineStr">
        <is>
          <t>18766-1</t>
        </is>
      </c>
      <c r="B120" s="3" t="inlineStr">
        <is>
          <t>Inv. no. 18766/1</t>
        </is>
      </c>
      <c r="C120" s="3" t="inlineStr">
        <is>
          <t>Double-Sided Comb</t>
        </is>
      </c>
      <c r="D120" s="3" t="inlineStr">
        <is>
          <t>مشط ذو أسنان من الجانبين</t>
        </is>
      </c>
      <c r="E120" s="3" t="inlineStr"/>
      <c r="F120" s="3" t="inlineStr"/>
      <c r="G120" s="3" t="inlineStr">
        <is>
          <t>A collection of double-sided wooden combs decorated with varying arrangements of medallions, rings-and-dots, and simple incised marginal lines.</t>
        </is>
      </c>
      <c r="H120" s="3" t="inlineStr">
        <is>
          <t>مجموعة من الأمشاط الخشبية ذات أسنان من الجانبين ، تزينها تشكيلات متنوعة من الجامات وزخارف الحلقة والنقطة، مع خطوط هامشية محفورة على الحواف.</t>
        </is>
      </c>
      <c r="I120" s="3" t="inlineStr"/>
      <c r="J120" s="3" t="inlineStr"/>
      <c r="K120" s="3" t="inlineStr">
        <is>
          <t>W: 8.6 cm; H: 8.1 cm</t>
        </is>
      </c>
      <c r="L120" s="3" t="inlineStr">
        <is>
          <t>العرض: ٨٫٦ سم، الارتفاع: ٨٫١ سم</t>
        </is>
      </c>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is>
          <t>https://mia.nadimfoundation.org/q18766-1</t>
        </is>
      </c>
      <c r="AT120" s="3">
        <f>IMAGE("https://api.qrserver.com/v1/create-qr-code/?size=300x300&amp;margin=8&amp;color=06444C&amp;bgcolor=EAE8D8&amp;data="&amp;ENCODEURL(AS120))</f>
        <v/>
      </c>
      <c r="AU120" s="3" t="inlineStr">
        <is>
          <t>Registered March 6th and 9th, 1957</t>
        </is>
      </c>
      <c r="AV120" s="3" t="inlineStr">
        <is>
          <t>سجلت فى ٦ و ٩ مارس ١٩٥٧</t>
        </is>
      </c>
      <c r="AW120" s="3" t="inlineStr">
        <is>
          <t>Submitted by Dr. Muhammad Mustafa</t>
        </is>
      </c>
      <c r="AX120" s="3" t="inlineStr">
        <is>
          <t>مقدمة من الدكتور محمد مصطفى</t>
        </is>
      </c>
      <c r="AY120" s="3" t="inlineStr">
        <is>
          <t>135</t>
        </is>
      </c>
      <c r="AZ120" s="3" t="inlineStr">
        <is>
          <t>237</t>
        </is>
      </c>
    </row>
    <row r="121">
      <c r="A121" s="3" t="inlineStr">
        <is>
          <t>18766-3</t>
        </is>
      </c>
      <c r="B121" s="3" t="inlineStr">
        <is>
          <t>Inv. no. 18766/3</t>
        </is>
      </c>
      <c r="C121" s="3" t="inlineStr">
        <is>
          <t>Double-Sided Comb</t>
        </is>
      </c>
      <c r="D121" s="3" t="inlineStr">
        <is>
          <t>مشط ذو أسنان من الجانبين</t>
        </is>
      </c>
      <c r="E121" s="3" t="inlineStr"/>
      <c r="F121" s="3" t="inlineStr"/>
      <c r="G121" s="3" t="inlineStr">
        <is>
          <t>A collection of double-sided wooden combs decorated with varying arrangements of medallions, rings-and-dots, and simple incised marginal lines.</t>
        </is>
      </c>
      <c r="H121" s="3" t="inlineStr">
        <is>
          <t>مجموعة من الأمشاط الخشبية ذات أسنان من الجانبين ، تزينها تشكيلات متنوعة من الجامات وزخارف الحلقة والنقطة، مع خطوط هامشية محفورة على الحواف.</t>
        </is>
      </c>
      <c r="I121" s="3" t="inlineStr"/>
      <c r="J121" s="3" t="inlineStr"/>
      <c r="K121" s="3" t="inlineStr">
        <is>
          <t>W: 6.9 cm; H: 11.5 cm</t>
        </is>
      </c>
      <c r="L121" s="3" t="inlineStr">
        <is>
          <t>العرض: ٦٫٩ سم، الارتفاع: ١١٫٥ سم</t>
        </is>
      </c>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is>
          <t>https://mia.nadimfoundation.org/q18766-3</t>
        </is>
      </c>
      <c r="AT121" s="3">
        <f>IMAGE("https://api.qrserver.com/v1/create-qr-code/?size=300x300&amp;margin=8&amp;color=06444C&amp;bgcolor=EAE8D8&amp;data="&amp;ENCODEURL(AS121))</f>
        <v/>
      </c>
      <c r="AU121" s="3" t="inlineStr">
        <is>
          <t>Registered March 6th and 9th, 1957</t>
        </is>
      </c>
      <c r="AV121" s="3" t="inlineStr">
        <is>
          <t>سجلت فى ٦ و ٩ مارس ١٩٥٧</t>
        </is>
      </c>
      <c r="AW121" s="3" t="inlineStr">
        <is>
          <t>Submitted by Dr. Muhammad Mustafa</t>
        </is>
      </c>
      <c r="AX121" s="3" t="inlineStr">
        <is>
          <t>مقدمة من الدكتور محمد مصطفى</t>
        </is>
      </c>
      <c r="AY121" s="3" t="inlineStr">
        <is>
          <t>136</t>
        </is>
      </c>
      <c r="AZ121" s="3" t="inlineStr">
        <is>
          <t>237</t>
        </is>
      </c>
    </row>
    <row r="122">
      <c r="A122" s="3" t="inlineStr">
        <is>
          <t>18860-2</t>
        </is>
      </c>
      <c r="B122" s="3" t="inlineStr">
        <is>
          <t>Inv. no. 18860/2</t>
        </is>
      </c>
      <c r="C122" s="3" t="inlineStr">
        <is>
          <t>Double-Sided Comb</t>
        </is>
      </c>
      <c r="D122" s="3" t="inlineStr">
        <is>
          <t>مشط ذو أسنان من الجانبين</t>
        </is>
      </c>
      <c r="E122" s="3" t="inlineStr"/>
      <c r="F122" s="3" t="inlineStr"/>
      <c r="G122" s="3" t="inlineStr">
        <is>
          <t>A collection of double-sided wooden combs decorated with varying arrangements of medallions, rings-and-dots, and simple incised marginal lines.</t>
        </is>
      </c>
      <c r="H122" s="3" t="inlineStr">
        <is>
          <t>مجموعة من الأمشاط الخشبية ذات أسنان من الجانبين ، تزينها تشكيلات متنوعة من الجامات وزخارف الحلقة والنقطة، مع خطوط هامشية محفورة على الحواف.</t>
        </is>
      </c>
      <c r="I122" s="3" t="inlineStr"/>
      <c r="J122" s="3" t="inlineStr"/>
      <c r="K122" s="3" t="inlineStr">
        <is>
          <t>W: 8.3 cm; H: 8.1 cm</t>
        </is>
      </c>
      <c r="L122" s="3" t="inlineStr">
        <is>
          <t>العرض: ٨٫٣ سم، الارتفاع: ٨٫١ سم</t>
        </is>
      </c>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is>
          <t>https://mia.nadimfoundation.org/q18860-2</t>
        </is>
      </c>
      <c r="AT122" s="3">
        <f>IMAGE("https://api.qrserver.com/v1/create-qr-code/?size=300x300&amp;margin=8&amp;color=06444C&amp;bgcolor=EAE8D8&amp;data="&amp;ENCODEURL(AS122))</f>
        <v/>
      </c>
      <c r="AU122" s="3" t="inlineStr">
        <is>
          <t>Registered March 6th and 9th, 1957</t>
        </is>
      </c>
      <c r="AV122" s="3" t="inlineStr">
        <is>
          <t>سجلت فى ٦ و ٩ مارس ١٩٥٧</t>
        </is>
      </c>
      <c r="AW122" s="3" t="inlineStr">
        <is>
          <t>Submitted by Dr. Muhammad Mustafa</t>
        </is>
      </c>
      <c r="AX122" s="3" t="inlineStr">
        <is>
          <t>مقدمة من الدكتور محمد مصطفى</t>
        </is>
      </c>
      <c r="AY122" s="3" t="inlineStr">
        <is>
          <t>137</t>
        </is>
      </c>
      <c r="AZ122" s="3" t="inlineStr">
        <is>
          <t>237</t>
        </is>
      </c>
    </row>
    <row r="123">
      <c r="A123" s="3" t="inlineStr">
        <is>
          <t>18860-5</t>
        </is>
      </c>
      <c r="B123" s="3" t="inlineStr">
        <is>
          <t>Inv. no. 18860/5</t>
        </is>
      </c>
      <c r="C123" s="3" t="inlineStr">
        <is>
          <t>Double-Sided Comb</t>
        </is>
      </c>
      <c r="D123" s="3" t="inlineStr">
        <is>
          <t>مشط ذو أسنان من الجانبين</t>
        </is>
      </c>
      <c r="E123" s="3" t="inlineStr"/>
      <c r="F123" s="3" t="inlineStr"/>
      <c r="G123" s="3" t="inlineStr">
        <is>
          <t>A collection of double-sided wooden combs decorated with varying arrangements of medallions, rings-and-dots, and simple incised marginal lines.</t>
        </is>
      </c>
      <c r="H123" s="3" t="inlineStr">
        <is>
          <t>مجموعة من الأمشاط الخشبية ذات أسنان من الجانبين ، تزينها تشكيلات متنوعة من الجامات وزخارف الحلقة والنقطة، مع خطوط هامشية محفورة على الحواف.</t>
        </is>
      </c>
      <c r="I123" s="3" t="inlineStr"/>
      <c r="J123" s="3" t="inlineStr"/>
      <c r="K123" s="3" t="inlineStr">
        <is>
          <t>W: 9.2 cm; H: 7.6 cm</t>
        </is>
      </c>
      <c r="L123" s="3" t="inlineStr">
        <is>
          <t>العرض: ٩٫٢ سم، الارتفاع: ٧٫٦ سم</t>
        </is>
      </c>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is>
          <t>https://mia.nadimfoundation.org/q18860-5</t>
        </is>
      </c>
      <c r="AT123" s="3">
        <f>IMAGE("https://api.qrserver.com/v1/create-qr-code/?size=300x300&amp;margin=8&amp;color=06444C&amp;bgcolor=EAE8D8&amp;data="&amp;ENCODEURL(AS123))</f>
        <v/>
      </c>
      <c r="AU123" s="3" t="inlineStr">
        <is>
          <t>Registered March 6th and 9th, 1957</t>
        </is>
      </c>
      <c r="AV123" s="3" t="inlineStr">
        <is>
          <t>سجلت فى ٦ و ٩ مارس ١٩٥٧</t>
        </is>
      </c>
      <c r="AW123" s="3" t="inlineStr">
        <is>
          <t>Submitted by Dr. Muhammad Mustafa</t>
        </is>
      </c>
      <c r="AX123" s="3" t="inlineStr">
        <is>
          <t>مقدمة من الدكتور محمد مصطفى</t>
        </is>
      </c>
      <c r="AY123" s="3" t="inlineStr">
        <is>
          <t>138</t>
        </is>
      </c>
      <c r="AZ123" s="3" t="inlineStr">
        <is>
          <t>237</t>
        </is>
      </c>
    </row>
    <row r="124">
      <c r="A124" s="3" t="inlineStr">
        <is>
          <t>18860-6</t>
        </is>
      </c>
      <c r="B124" s="3" t="inlineStr">
        <is>
          <t>Inv. no. 18860/6</t>
        </is>
      </c>
      <c r="C124" s="3" t="inlineStr">
        <is>
          <t>Double-Sided Comb</t>
        </is>
      </c>
      <c r="D124" s="3" t="inlineStr">
        <is>
          <t>مشط ذو أسنان من الجانبين</t>
        </is>
      </c>
      <c r="E124" s="3" t="inlineStr"/>
      <c r="F124" s="3" t="inlineStr"/>
      <c r="G124" s="3" t="inlineStr">
        <is>
          <t>A collection of double-sided wooden combs decorated with varying arrangements of medallions, rings-and-dots, and simple incised marginal lines.</t>
        </is>
      </c>
      <c r="H124" s="3" t="inlineStr">
        <is>
          <t>مجموعة من الأمشاط الخشبية ذات أسنان من الجانبين ، تزينها تشكيلات متنوعة من الجامات وزخارف الحلقة والنقطة، مع خطوط هامشية محفورة على الحواف.</t>
        </is>
      </c>
      <c r="I124" s="3" t="inlineStr"/>
      <c r="J124" s="3" t="inlineStr"/>
      <c r="K124" s="3" t="inlineStr">
        <is>
          <t>W: 7.6 cm; H: 7.8 cm</t>
        </is>
      </c>
      <c r="L124" s="3" t="inlineStr">
        <is>
          <t>العرض: ٧٫٦ سم، الارتفاع: ٧٫٨ سم</t>
        </is>
      </c>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is>
          <t>https://mia.nadimfoundation.org/q18860-6</t>
        </is>
      </c>
      <c r="AT124" s="3">
        <f>IMAGE("https://api.qrserver.com/v1/create-qr-code/?size=300x300&amp;margin=8&amp;color=06444C&amp;bgcolor=EAE8D8&amp;data="&amp;ENCODEURL(AS124))</f>
        <v/>
      </c>
      <c r="AU124" s="3" t="inlineStr">
        <is>
          <t>Registered March 6th and 9th, 1957</t>
        </is>
      </c>
      <c r="AV124" s="3" t="inlineStr">
        <is>
          <t>سجلت فى ٦ و ٩ مارس ١٩٥٧</t>
        </is>
      </c>
      <c r="AW124" s="3" t="inlineStr">
        <is>
          <t>Submitted by Dr. Muhammad Mustafa</t>
        </is>
      </c>
      <c r="AX124" s="3" t="inlineStr">
        <is>
          <t>مقدمة من الدكتور محمد مصطفى</t>
        </is>
      </c>
      <c r="AY124" s="3" t="inlineStr">
        <is>
          <t>139</t>
        </is>
      </c>
      <c r="AZ124" s="3" t="inlineStr">
        <is>
          <t>237</t>
        </is>
      </c>
    </row>
    <row r="125">
      <c r="A125" s="3" t="inlineStr">
        <is>
          <t>18860-7</t>
        </is>
      </c>
      <c r="B125" s="3" t="inlineStr">
        <is>
          <t>Inv. no. 18860/7</t>
        </is>
      </c>
      <c r="C125" s="3" t="inlineStr">
        <is>
          <t>Double-Sided Comb</t>
        </is>
      </c>
      <c r="D125" s="3" t="inlineStr">
        <is>
          <t>مشط ذو أسنان من الجانبين</t>
        </is>
      </c>
      <c r="E125" s="3" t="inlineStr"/>
      <c r="F125" s="3" t="inlineStr"/>
      <c r="G125" s="3" t="inlineStr">
        <is>
          <t>A collection of double-sided wooden combs decorated with varying arrangements of medallions, rings-and-dots, and simple incised marginal lines.</t>
        </is>
      </c>
      <c r="H125" s="3" t="inlineStr">
        <is>
          <t>مجموعة من الأمشاط الخشبية ذات أسنان من الجانبين ، تزينها تشكيلات متنوعة من الجامات وزخارف الحلقة والنقطة، مع خطوط هامشية محفورة على الحواف.</t>
        </is>
      </c>
      <c r="I125" s="3" t="inlineStr"/>
      <c r="J125" s="3" t="inlineStr"/>
      <c r="K125" s="3" t="inlineStr">
        <is>
          <t>W: 5.2 cm; H: 6 cm</t>
        </is>
      </c>
      <c r="L125" s="3" t="inlineStr">
        <is>
          <t>العرض: ٥٫٢ سم، الارتفاع: ٦ سم</t>
        </is>
      </c>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is>
          <t>https://mia.nadimfoundation.org/q18860-7</t>
        </is>
      </c>
      <c r="AT125" s="3">
        <f>IMAGE("https://api.qrserver.com/v1/create-qr-code/?size=300x300&amp;margin=8&amp;color=06444C&amp;bgcolor=EAE8D8&amp;data="&amp;ENCODEURL(AS125))</f>
        <v/>
      </c>
      <c r="AU125" s="3" t="inlineStr">
        <is>
          <t>Registered March 6th and 9th, 1957</t>
        </is>
      </c>
      <c r="AV125" s="3" t="inlineStr">
        <is>
          <t>سجلت فى ٦ و ٩ مارس ١٩٥٧</t>
        </is>
      </c>
      <c r="AW125" s="3" t="inlineStr">
        <is>
          <t>Submitted by Dr. Muhammad Mustafa</t>
        </is>
      </c>
      <c r="AX125" s="3" t="inlineStr">
        <is>
          <t>مقدمة من الدكتور محمد مصطفى</t>
        </is>
      </c>
      <c r="AY125" s="3" t="inlineStr">
        <is>
          <t>140</t>
        </is>
      </c>
      <c r="AZ125" s="3" t="inlineStr">
        <is>
          <t>237</t>
        </is>
      </c>
    </row>
    <row r="126">
      <c r="A126" s="3" t="inlineStr">
        <is>
          <t>3867</t>
        </is>
      </c>
      <c r="B126" s="3" t="inlineStr">
        <is>
          <t>Inv. no. 3867</t>
        </is>
      </c>
      <c r="C126" s="3" t="inlineStr">
        <is>
          <t>Double-Sided Comb</t>
        </is>
      </c>
      <c r="D126" s="3" t="inlineStr">
        <is>
          <t>مشط ذو أسنان من الجانبين</t>
        </is>
      </c>
      <c r="E126" s="3" t="inlineStr"/>
      <c r="F126" s="3" t="inlineStr"/>
      <c r="G126" s="3" t="inlineStr">
        <is>
          <t>Wide wooden comb, decorated with a central openwork band surrounded by ring-and-dot motifs. The edges bear the remains of prominent finials, only partially preserved.</t>
        </is>
      </c>
      <c r="H126" s="3" t="inlineStr">
        <is>
          <t>مشط خشبى كبير، يتوسطه شريط زخرفى مفرغ تحيط به وحدات الحلقة والنقطة، وعلى الحافتين تظهر بقايا زخارف بارزة لم يبق منها سوى أجزاء محدودة.</t>
        </is>
      </c>
      <c r="I126" s="3" t="inlineStr"/>
      <c r="J126" s="3" t="inlineStr"/>
      <c r="K126" s="3" t="inlineStr">
        <is>
          <t>W: 11.9 cm; H: 7.1 cm</t>
        </is>
      </c>
      <c r="L126" s="3" t="inlineStr">
        <is>
          <t>العرض: ١١٫٩ سم، الطول: ٧٫١ سم</t>
        </is>
      </c>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is>
          <t>https://mia.nadimfoundation.org/q3867</t>
        </is>
      </c>
      <c r="AT126" s="3">
        <f>IMAGE("https://api.qrserver.com/v1/create-qr-code/?size=300x300&amp;margin=8&amp;color=06444C&amp;bgcolor=EAE8D8&amp;data="&amp;ENCODEURL(AS126))</f>
        <v/>
      </c>
      <c r="AU126" s="3" t="inlineStr"/>
      <c r="AV126" s="3" t="inlineStr"/>
      <c r="AW126" s="3" t="inlineStr"/>
      <c r="AX126" s="3" t="inlineStr"/>
      <c r="AY126" s="3" t="inlineStr"/>
      <c r="AZ126" s="3" t="inlineStr">
        <is>
          <t>246</t>
        </is>
      </c>
    </row>
    <row r="127">
      <c r="A127" s="3" t="inlineStr">
        <is>
          <t>4938</t>
        </is>
      </c>
      <c r="B127" s="3" t="inlineStr">
        <is>
          <t>Inv. no. 4938</t>
        </is>
      </c>
      <c r="C127" s="3" t="inlineStr">
        <is>
          <t>Double-Sided Comb</t>
        </is>
      </c>
      <c r="D127" s="3" t="inlineStr">
        <is>
          <t>مشط ذو أسنان من الجانبين</t>
        </is>
      </c>
      <c r="E127" s="3" t="inlineStr">
        <is>
          <t>From the ruins of al-Fustat</t>
        </is>
      </c>
      <c r="F127" s="3" t="inlineStr">
        <is>
          <t>من آثار الفسطاط</t>
        </is>
      </c>
      <c r="G127" s="3" t="inlineStr">
        <is>
          <t>A collection of wooden combs from Fustat, all decorated with openwork designs in varying degrees of complexity and refinement.</t>
        </is>
      </c>
      <c r="H127" s="3" t="inlineStr">
        <is>
          <t>مجموعة من الأمشاط الخشبية من الفسطاط تزدان بزخارف مفرغة تتفاوت فى دقة تنفيذها وتعقيدها.</t>
        </is>
      </c>
      <c r="I127" s="3" t="inlineStr"/>
      <c r="J127" s="3" t="inlineStr"/>
      <c r="K127" s="3" t="inlineStr">
        <is>
          <t>W: 6.2 cm; H: 12.4 cm</t>
        </is>
      </c>
      <c r="L127" s="3" t="inlineStr">
        <is>
          <t>العرض: ٦٫٢ سم، الطول: ١٢٫٤ سم</t>
        </is>
      </c>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is>
          <t>https://mia.nadimfoundation.org/q4938</t>
        </is>
      </c>
      <c r="AT127" s="3">
        <f>IMAGE("https://api.qrserver.com/v1/create-qr-code/?size=300x300&amp;margin=8&amp;color=06444C&amp;bgcolor=EAE8D8&amp;data="&amp;ENCODEURL(AS127))</f>
        <v/>
      </c>
      <c r="AU127" s="3" t="inlineStr"/>
      <c r="AV127" s="3" t="inlineStr"/>
      <c r="AW127" s="3" t="inlineStr"/>
      <c r="AX127" s="3" t="inlineStr"/>
      <c r="AY127" s="3" t="inlineStr">
        <is>
          <t>142</t>
        </is>
      </c>
      <c r="AZ127" s="3" t="inlineStr">
        <is>
          <t>247</t>
        </is>
      </c>
    </row>
    <row r="128">
      <c r="A128" s="3" t="inlineStr">
        <is>
          <t>4939</t>
        </is>
      </c>
      <c r="B128" s="3" t="inlineStr">
        <is>
          <t>Inv. no. 4939</t>
        </is>
      </c>
      <c r="C128" s="3" t="inlineStr">
        <is>
          <t>Double-Sided Comb</t>
        </is>
      </c>
      <c r="D128" s="3" t="inlineStr">
        <is>
          <t>مشط ذو أسنان من الجانبين</t>
        </is>
      </c>
      <c r="E128" s="3" t="inlineStr">
        <is>
          <t>From the ruins of al-Fustat</t>
        </is>
      </c>
      <c r="F128" s="3" t="inlineStr">
        <is>
          <t>من آثار الفسطاط</t>
        </is>
      </c>
      <c r="G128" s="3" t="inlineStr">
        <is>
          <t>A collection of wooden combs from Fustat, all decorated with openwork designs in varying degrees of complexity and refinement.</t>
        </is>
      </c>
      <c r="H128" s="3" t="inlineStr">
        <is>
          <t>مجموعة من الأمشاط الخشبية من الفسطاط تزدان بزخارف مفرغة تتفاوت فى دقة تنفيذها وتعقيدها.</t>
        </is>
      </c>
      <c r="I128" s="3" t="inlineStr"/>
      <c r="J128" s="3" t="inlineStr"/>
      <c r="K128" s="3" t="inlineStr">
        <is>
          <t>W: 6.1 cm; H: 13 cm</t>
        </is>
      </c>
      <c r="L128" s="3" t="inlineStr">
        <is>
          <t>العرض: ٦٫١ سم، الطول: ١٣ سم</t>
        </is>
      </c>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is>
          <t>https://mia.nadimfoundation.org/q4939</t>
        </is>
      </c>
      <c r="AT128" s="3">
        <f>IMAGE("https://api.qrserver.com/v1/create-qr-code/?size=300x300&amp;margin=8&amp;color=06444C&amp;bgcolor=EAE8D8&amp;data="&amp;ENCODEURL(AS128))</f>
        <v/>
      </c>
      <c r="AU128" s="3" t="inlineStr"/>
      <c r="AV128" s="3" t="inlineStr"/>
      <c r="AW128" s="3" t="inlineStr"/>
      <c r="AX128" s="3" t="inlineStr"/>
      <c r="AY128" s="3" t="inlineStr">
        <is>
          <t>143</t>
        </is>
      </c>
      <c r="AZ128" s="3" t="inlineStr">
        <is>
          <t>247</t>
        </is>
      </c>
    </row>
    <row r="129">
      <c r="A129" s="3" t="inlineStr">
        <is>
          <t>4941</t>
        </is>
      </c>
      <c r="B129" s="3" t="inlineStr">
        <is>
          <t>Inv. no. 4941</t>
        </is>
      </c>
      <c r="C129" s="3" t="inlineStr">
        <is>
          <t>Double-Sided Comb</t>
        </is>
      </c>
      <c r="D129" s="3" t="inlineStr">
        <is>
          <t>مشط ذو أسنان من الجانبين</t>
        </is>
      </c>
      <c r="E129" s="3" t="inlineStr">
        <is>
          <t>From the ruins of al-Fustat</t>
        </is>
      </c>
      <c r="F129" s="3" t="inlineStr">
        <is>
          <t>من آثار الفسطاط</t>
        </is>
      </c>
      <c r="G129" s="3" t="inlineStr">
        <is>
          <t>A collection of wooden combs from Fustat, all decorated with openwork designs in varying degrees of complexity and refinement.</t>
        </is>
      </c>
      <c r="H129" s="3" t="inlineStr">
        <is>
          <t>مجموعة من الأمشاط الخشبية من الفسطاط تزدان بزخارف مفرغة تتفاوت فى دقة تنفيذها وتعقيدها.</t>
        </is>
      </c>
      <c r="I129" s="3" t="inlineStr"/>
      <c r="J129" s="3" t="inlineStr"/>
      <c r="K129" s="3" t="inlineStr">
        <is>
          <t>W: 3.2 cm; H: 10.1 cm</t>
        </is>
      </c>
      <c r="L129" s="3" t="inlineStr">
        <is>
          <t>العرض: ٣٫٢ سم، الطول: ١٠٫١ سم</t>
        </is>
      </c>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is>
          <t>https://mia.nadimfoundation.org/q4941</t>
        </is>
      </c>
      <c r="AT129" s="3">
        <f>IMAGE("https://api.qrserver.com/v1/create-qr-code/?size=300x300&amp;margin=8&amp;color=06444C&amp;bgcolor=EAE8D8&amp;data="&amp;ENCODEURL(AS129))</f>
        <v/>
      </c>
      <c r="AU129" s="3" t="inlineStr"/>
      <c r="AV129" s="3" t="inlineStr"/>
      <c r="AW129" s="3" t="inlineStr"/>
      <c r="AX129" s="3" t="inlineStr"/>
      <c r="AY129" s="3" t="inlineStr">
        <is>
          <t>144</t>
        </is>
      </c>
      <c r="AZ129" s="3" t="inlineStr">
        <is>
          <t>247</t>
        </is>
      </c>
    </row>
    <row r="130">
      <c r="A130" s="3" t="inlineStr">
        <is>
          <t>4942</t>
        </is>
      </c>
      <c r="B130" s="3" t="inlineStr">
        <is>
          <t>Inv. no. 4942</t>
        </is>
      </c>
      <c r="C130" s="3" t="inlineStr">
        <is>
          <t>Double-Sided Comb</t>
        </is>
      </c>
      <c r="D130" s="3" t="inlineStr">
        <is>
          <t>مشط ذو أسنان من الجانبين</t>
        </is>
      </c>
      <c r="E130" s="3" t="inlineStr">
        <is>
          <t>From the ruins of al-Fustat</t>
        </is>
      </c>
      <c r="F130" s="3" t="inlineStr">
        <is>
          <t>من آثار الفسطاط</t>
        </is>
      </c>
      <c r="G130" s="3" t="inlineStr">
        <is>
          <t>A collection of wooden combs from Fustat, all decorated with openwork designs in varying degrees of complexity and refinement.</t>
        </is>
      </c>
      <c r="H130" s="3" t="inlineStr">
        <is>
          <t>مجموعة من الأمشاط الخشبية من الفسطاط تزدان بزخارف مفرغة تتفاوت فى دقة تنفيذها وتعقيدها.</t>
        </is>
      </c>
      <c r="I130" s="3" t="inlineStr"/>
      <c r="J130" s="3" t="inlineStr"/>
      <c r="K130" s="3" t="inlineStr">
        <is>
          <t>W: 5.6 cm; H: 10.9 cm</t>
        </is>
      </c>
      <c r="L130" s="3" t="inlineStr">
        <is>
          <t>العرض: ٥٫٦ سم، الطول: ١٠٫٩ سم</t>
        </is>
      </c>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is>
          <t>https://mia.nadimfoundation.org/q4942</t>
        </is>
      </c>
      <c r="AT130" s="3">
        <f>IMAGE("https://api.qrserver.com/v1/create-qr-code/?size=300x300&amp;margin=8&amp;color=06444C&amp;bgcolor=EAE8D8&amp;data="&amp;ENCODEURL(AS130))</f>
        <v/>
      </c>
      <c r="AU130" s="3" t="inlineStr"/>
      <c r="AV130" s="3" t="inlineStr"/>
      <c r="AW130" s="3" t="inlineStr"/>
      <c r="AX130" s="3" t="inlineStr"/>
      <c r="AY130" s="3" t="inlineStr">
        <is>
          <t>145</t>
        </is>
      </c>
      <c r="AZ130" s="3" t="inlineStr">
        <is>
          <t>247</t>
        </is>
      </c>
    </row>
    <row r="131">
      <c r="A131" s="3" t="inlineStr">
        <is>
          <t>4946</t>
        </is>
      </c>
      <c r="B131" s="3" t="inlineStr">
        <is>
          <t>Inv. no. 4946</t>
        </is>
      </c>
      <c r="C131" s="3" t="inlineStr">
        <is>
          <t>Double-Sided Comb</t>
        </is>
      </c>
      <c r="D131" s="3" t="inlineStr">
        <is>
          <t>مشط ذو أسنان من الجانبين</t>
        </is>
      </c>
      <c r="E131" s="3" t="inlineStr">
        <is>
          <t>From the ruins of al-Fustat</t>
        </is>
      </c>
      <c r="F131" s="3" t="inlineStr">
        <is>
          <t>من آثار الفسطاط</t>
        </is>
      </c>
      <c r="G131" s="3" t="inlineStr">
        <is>
          <t>Half a wooden comb from Fustat, decorated with ring-and-dot motifs and simple openwork dots in the central band. The decoration continues along the undulating base of the comb, from which the thicker set of teeth emerge.</t>
        </is>
      </c>
      <c r="H131" s="3" t="inlineStr">
        <is>
          <t>نصف مشط خشبى من الفسطاط يزدان بزخارف الحلقة والنقطة، مع زخارف مفرغة داخل شريط مركزى. تمتد الزخارف على طول القاعدة المتموجة التى تنبثق منها مجموعة الأسنان العريضة.</t>
        </is>
      </c>
      <c r="I131" s="3" t="inlineStr"/>
      <c r="J131" s="3" t="inlineStr"/>
      <c r="K131" s="3" t="inlineStr">
        <is>
          <t>W: 7.5 cm; H: 10.4 cm</t>
        </is>
      </c>
      <c r="L131" s="3" t="inlineStr">
        <is>
          <t>العرض: ٧٫٥ سم، الطول: ١٠٫٤ سم</t>
        </is>
      </c>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is>
          <t>https://mia.nadimfoundation.org/q4946</t>
        </is>
      </c>
      <c r="AT131" s="3">
        <f>IMAGE("https://api.qrserver.com/v1/create-qr-code/?size=300x300&amp;margin=8&amp;color=06444C&amp;bgcolor=EAE8D8&amp;data="&amp;ENCODEURL(AS131))</f>
        <v/>
      </c>
      <c r="AU131" s="3" t="inlineStr"/>
      <c r="AV131" s="3" t="inlineStr"/>
      <c r="AW131" s="3" t="inlineStr"/>
      <c r="AX131" s="3" t="inlineStr"/>
      <c r="AY131" s="3" t="inlineStr"/>
      <c r="AZ131" s="3" t="inlineStr">
        <is>
          <t>250</t>
        </is>
      </c>
    </row>
    <row r="132">
      <c r="A132" s="3" t="inlineStr">
        <is>
          <t>6621-1</t>
        </is>
      </c>
      <c r="B132" s="3" t="inlineStr">
        <is>
          <t>Inv. no. 6621/1</t>
        </is>
      </c>
      <c r="C132" s="3" t="inlineStr">
        <is>
          <t>Double-Sided Comb</t>
        </is>
      </c>
      <c r="D132" s="3" t="inlineStr">
        <is>
          <t>مشط ذو أسنان من الجانبين</t>
        </is>
      </c>
      <c r="E132" s="3" t="inlineStr"/>
      <c r="F132" s="3" t="inlineStr"/>
      <c r="G132" s="3" t="inlineStr">
        <is>
          <t>Double-sided comb decorated with an openwork central panel decorated with a repeating pattern of interlocking circles enclosing four-petalled stars, the intersections filled with small diamonds. The panel is flanked either side by plain bands pierced with small round holes.</t>
        </is>
      </c>
      <c r="H132" s="3" t="inlineStr">
        <is>
          <t>مشط بحشوة مركزية مفرغة، تزدان بنقوش متكررة لدوائر متشابكة تتوسطها نجوم رباعية البتلات، بينما تملأ معينات صغيرة زوايا التقاطعات. ويحيط بهذه الحشوة شريطان خاليان من الزخارف، يتخللهما ثقوب دائرية دقيقة.</t>
        </is>
      </c>
      <c r="I132" s="3" t="inlineStr"/>
      <c r="J132" s="3" t="inlineStr"/>
      <c r="K132" s="3" t="inlineStr">
        <is>
          <t>W: 4.3 cm; H: 11 cm</t>
        </is>
      </c>
      <c r="L132" s="3" t="inlineStr">
        <is>
          <t>العرض: ٤٫٣ سم، الطول: ١١ سم</t>
        </is>
      </c>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is>
          <t>https://mia.nadimfoundation.org/q6621-1</t>
        </is>
      </c>
      <c r="AT132" s="3">
        <f>IMAGE("https://api.qrserver.com/v1/create-qr-code/?size=300x300&amp;margin=8&amp;color=06444C&amp;bgcolor=EAE8D8&amp;data="&amp;ENCODEURL(AS132))</f>
        <v/>
      </c>
      <c r="AU132" s="3" t="inlineStr">
        <is>
          <t>Registered January 3, 1924</t>
        </is>
      </c>
      <c r="AV132" s="3" t="inlineStr">
        <is>
          <t>سجل فى ٣ يناير ١٩٢٤</t>
        </is>
      </c>
      <c r="AW132" s="3" t="inlineStr">
        <is>
          <t>Purchased from the collection of Muhammad Sa‘d Ahmad</t>
        </is>
      </c>
      <c r="AX132" s="3" t="inlineStr">
        <is>
          <t>مشترى من محمد سعد أحمد</t>
        </is>
      </c>
      <c r="AY132" s="3" t="inlineStr"/>
      <c r="AZ132" s="3" t="inlineStr">
        <is>
          <t>251</t>
        </is>
      </c>
    </row>
    <row r="133">
      <c r="A133" s="3" t="inlineStr">
        <is>
          <t>7936-1</t>
        </is>
      </c>
      <c r="B133" s="3" t="inlineStr">
        <is>
          <t>Inv. no. 7936/1</t>
        </is>
      </c>
      <c r="C133" s="3" t="inlineStr">
        <is>
          <t>Double-Sided Comb</t>
        </is>
      </c>
      <c r="D133" s="3" t="inlineStr">
        <is>
          <t>مشط ذو أسنان من الجانبين</t>
        </is>
      </c>
      <c r="E133" s="3" t="inlineStr"/>
      <c r="F133" s="3" t="inlineStr"/>
      <c r="G133" s="3" t="inlineStr">
        <is>
          <t>Two double-sided combs of unknown origin, decorated with simple openwork designs. No. 7936/4 is also decorated on its primary face with ring-and-dot motifs and a large sunken square, pierced with a hole at its center.</t>
        </is>
      </c>
      <c r="H133" s="3" t="inlineStr">
        <is>
          <t>مشطان غير معروف مصدرهما، يزدان كل منهما بتصاميم مفرغة بسيطة، وتتفرد القطعة رقم ٧٩٣٦/٤ بزخارف الحلقة والنقطة على وجهها الرئيسى، بالإضافة إلى مربع غائر كبير يتوسطه ثقب صغير.</t>
        </is>
      </c>
      <c r="I133" s="3" t="inlineStr"/>
      <c r="J133" s="3" t="inlineStr"/>
      <c r="K133" s="3" t="inlineStr">
        <is>
          <t>W: 4.9 cm; H: 12.6 cm</t>
        </is>
      </c>
      <c r="L133" s="3" t="inlineStr">
        <is>
          <t>العرض: ٤٫٩ سم، الطول: ١٢٫٦ سم</t>
        </is>
      </c>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is>
          <t>https://mia.nadimfoundation.org/q7936-1</t>
        </is>
      </c>
      <c r="AT133" s="3">
        <f>IMAGE("https://api.qrserver.com/v1/create-qr-code/?size=300x300&amp;margin=8&amp;color=06444C&amp;bgcolor=EAE8D8&amp;data="&amp;ENCODEURL(AS133))</f>
        <v/>
      </c>
      <c r="AU133" s="3" t="inlineStr">
        <is>
          <t>Registered December 22, 1924</t>
        </is>
      </c>
      <c r="AV133" s="3" t="inlineStr">
        <is>
          <t>سجل فى ٢٢ ديسمبر ١٩٢٧</t>
        </is>
      </c>
      <c r="AW133" s="3" t="inlineStr">
        <is>
          <t>Purchased from al-Haj ‘Abd al-Ghaffar</t>
        </is>
      </c>
      <c r="AX133" s="3" t="inlineStr">
        <is>
          <t>مشترى من الحاج عبد الغفار</t>
        </is>
      </c>
      <c r="AY133" s="3" t="inlineStr">
        <is>
          <t>148</t>
        </is>
      </c>
      <c r="AZ133" s="3" t="inlineStr">
        <is>
          <t>252</t>
        </is>
      </c>
    </row>
    <row r="134">
      <c r="A134" s="3" t="inlineStr">
        <is>
          <t>7936-4</t>
        </is>
      </c>
      <c r="B134" s="3" t="inlineStr">
        <is>
          <t>Inv. no. 7936/4</t>
        </is>
      </c>
      <c r="C134" s="3" t="inlineStr">
        <is>
          <t>Double-Sided Comb</t>
        </is>
      </c>
      <c r="D134" s="3" t="inlineStr">
        <is>
          <t>مشط ذو أسنان من الجانبين</t>
        </is>
      </c>
      <c r="E134" s="3" t="inlineStr"/>
      <c r="F134" s="3" t="inlineStr"/>
      <c r="G134" s="3" t="inlineStr">
        <is>
          <t>Two double-sided combs of unknown origin, decorated with simple openwork designs. No. 7936/4 is also decorated on its primary face with ring-and-dot motifs and a large sunken square, pierced with a hole at its center.</t>
        </is>
      </c>
      <c r="H134" s="3" t="inlineStr">
        <is>
          <t>مشطان غير معروف مصدرهما، يزدان كل منهما بتصاميم مفرغة بسيطة، وتتفرد القطعة رقم ٧٩٣٦/٤ بزخارف الحلقة والنقطة على وجهها الرئيسى، بالإضافة إلى مربع غائر كبير يتوسطه ثقب صغير.</t>
        </is>
      </c>
      <c r="I134" s="3" t="inlineStr"/>
      <c r="J134" s="3" t="inlineStr"/>
      <c r="K134" s="3" t="inlineStr">
        <is>
          <t>W: 4.3 cm; H: 11.7 cm</t>
        </is>
      </c>
      <c r="L134" s="3" t="inlineStr">
        <is>
          <t>العرض: ٤٫٣ سم، الطول: ١١٫٧ سم</t>
        </is>
      </c>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is>
          <t>https://mia.nadimfoundation.org/q7936-4</t>
        </is>
      </c>
      <c r="AT134" s="3">
        <f>IMAGE("https://api.qrserver.com/v1/create-qr-code/?size=300x300&amp;margin=8&amp;color=06444C&amp;bgcolor=EAE8D8&amp;data="&amp;ENCODEURL(AS134))</f>
        <v/>
      </c>
      <c r="AU134" s="3" t="inlineStr">
        <is>
          <t>Registered December 22, 1924</t>
        </is>
      </c>
      <c r="AV134" s="3" t="inlineStr">
        <is>
          <t>سجل فى ٢٢ ديسمبر ١٩٢٧</t>
        </is>
      </c>
      <c r="AW134" s="3" t="inlineStr">
        <is>
          <t>Purchased from al-Haj ‘Abd al-Ghaffar</t>
        </is>
      </c>
      <c r="AX134" s="3" t="inlineStr">
        <is>
          <t>مشترى من الحاج عبد الغفار</t>
        </is>
      </c>
      <c r="AY134" s="3" t="inlineStr">
        <is>
          <t>149</t>
        </is>
      </c>
      <c r="AZ134" s="3" t="inlineStr">
        <is>
          <t>252</t>
        </is>
      </c>
    </row>
    <row r="135">
      <c r="A135" s="3" t="inlineStr">
        <is>
          <t>18761-1</t>
        </is>
      </c>
      <c r="B135" s="3" t="inlineStr">
        <is>
          <t>Inv. no. 18761/1</t>
        </is>
      </c>
      <c r="C135" s="3" t="inlineStr">
        <is>
          <t>Double-Sided Comb</t>
        </is>
      </c>
      <c r="D135" s="3" t="inlineStr">
        <is>
          <t>مشط ذو أسنان من الجانبين</t>
        </is>
      </c>
      <c r="E135" s="3" t="inlineStr"/>
      <c r="F135" s="3" t="inlineStr"/>
      <c r="G135" s="3" t="inlineStr">
        <is>
          <t>Double-sided combs decorated with openwork designs, medallions, quincunxes, and ring-and-dot motifs, either recessed or flush with the surface. Handles are typically straight, though some examples feature a gentle curve or flare, or rounded finials.</t>
        </is>
      </c>
      <c r="H135"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35" s="3" t="inlineStr"/>
      <c r="J135" s="3" t="inlineStr"/>
      <c r="K135" s="3" t="inlineStr">
        <is>
          <t>W: 6.6 cm; H: 10.6 cm</t>
        </is>
      </c>
      <c r="L135" s="3" t="inlineStr">
        <is>
          <t>العرض: ٦٫٦ سم، الارتفاع: ١٠٫٦ سم</t>
        </is>
      </c>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is>
          <t>https://mia.nadimfoundation.org/q18761-1</t>
        </is>
      </c>
      <c r="AT135" s="3">
        <f>IMAGE("https://api.qrserver.com/v1/create-qr-code/?size=300x300&amp;margin=8&amp;color=06444C&amp;bgcolor=EAE8D8&amp;data="&amp;ENCODEURL(AS135))</f>
        <v/>
      </c>
      <c r="AU135" s="3" t="inlineStr">
        <is>
          <t>Registered March 6, 1957</t>
        </is>
      </c>
      <c r="AV135" s="3" t="inlineStr">
        <is>
          <t>سجلت فى ٦ مارس ١٩٥٧</t>
        </is>
      </c>
      <c r="AW135" s="3" t="inlineStr">
        <is>
          <t>Submitted by Dr. Muhammad Mustafa</t>
        </is>
      </c>
      <c r="AX135" s="3" t="inlineStr">
        <is>
          <t>مقدمة من الدكتور محمد مصطفى</t>
        </is>
      </c>
      <c r="AY135" s="3" t="inlineStr">
        <is>
          <t>150</t>
        </is>
      </c>
      <c r="AZ135" s="3" t="inlineStr">
        <is>
          <t>254</t>
        </is>
      </c>
    </row>
    <row r="136">
      <c r="A136" s="3" t="inlineStr">
        <is>
          <t>18761-2</t>
        </is>
      </c>
      <c r="B136" s="3" t="inlineStr">
        <is>
          <t>Inv. no. 18761/2</t>
        </is>
      </c>
      <c r="C136" s="3" t="inlineStr">
        <is>
          <t>Double-Sided Comb</t>
        </is>
      </c>
      <c r="D136" s="3" t="inlineStr">
        <is>
          <t>مشط ذو أسنان من الجانبين</t>
        </is>
      </c>
      <c r="E136" s="3" t="inlineStr"/>
      <c r="F136" s="3" t="inlineStr"/>
      <c r="G136" s="3" t="inlineStr">
        <is>
          <t>Double-sided combs decorated with openwork designs, medallions, quincunxes, and ring-and-dot motifs, either recessed or flush with the surface. Handles are typically straight, though some examples feature a gentle curve or flare, or rounded finials.</t>
        </is>
      </c>
      <c r="H136"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36" s="3" t="inlineStr"/>
      <c r="J136" s="3" t="inlineStr"/>
      <c r="K136" s="3" t="inlineStr">
        <is>
          <t>W: 4.1 cm; H: 10.5 cm</t>
        </is>
      </c>
      <c r="L136" s="3" t="inlineStr">
        <is>
          <t>العرض: ٤٫١ سم، الارتفاع: ١٠٫٥ سم</t>
        </is>
      </c>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is>
          <t>https://mia.nadimfoundation.org/q18761-2</t>
        </is>
      </c>
      <c r="AT136" s="3">
        <f>IMAGE("https://api.qrserver.com/v1/create-qr-code/?size=300x300&amp;margin=8&amp;color=06444C&amp;bgcolor=EAE8D8&amp;data="&amp;ENCODEURL(AS136))</f>
        <v/>
      </c>
      <c r="AU136" s="3" t="inlineStr">
        <is>
          <t>Registered March 6, 1957</t>
        </is>
      </c>
      <c r="AV136" s="3" t="inlineStr">
        <is>
          <t>سجلت فى ٦ مارس ١٩٥٧</t>
        </is>
      </c>
      <c r="AW136" s="3" t="inlineStr">
        <is>
          <t>Submitted by Dr. Muhammad Mustafa</t>
        </is>
      </c>
      <c r="AX136" s="3" t="inlineStr">
        <is>
          <t>مقدمة من الدكتور محمد مصطفى</t>
        </is>
      </c>
      <c r="AY136" s="3" t="inlineStr">
        <is>
          <t>151</t>
        </is>
      </c>
      <c r="AZ136" s="3" t="inlineStr">
        <is>
          <t>254</t>
        </is>
      </c>
    </row>
    <row r="137">
      <c r="A137" s="3" t="inlineStr">
        <is>
          <t>18761-3</t>
        </is>
      </c>
      <c r="B137" s="3" t="inlineStr">
        <is>
          <t>Inv. no. 18761/3</t>
        </is>
      </c>
      <c r="C137" s="3" t="inlineStr">
        <is>
          <t>Double-Sided Comb</t>
        </is>
      </c>
      <c r="D137" s="3" t="inlineStr">
        <is>
          <t>مشط ذو أسنان من الجانبين</t>
        </is>
      </c>
      <c r="E137" s="3" t="inlineStr"/>
      <c r="F137" s="3" t="inlineStr"/>
      <c r="G137" s="3" t="inlineStr">
        <is>
          <t>Double-sided combs decorated with openwork designs, medallions, quincunxes, and ring-and-dot motifs, either recessed or flush with the surface. Handles are typically straight, though some examples feature a gentle curve or flare, or rounded finials.</t>
        </is>
      </c>
      <c r="H137"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37" s="3" t="inlineStr"/>
      <c r="J137" s="3" t="inlineStr"/>
      <c r="K137" s="3" t="inlineStr">
        <is>
          <t>W: 5.9 cm; H: 9.4 cm</t>
        </is>
      </c>
      <c r="L137" s="3" t="inlineStr">
        <is>
          <t>العرض: ٥٫٩ سم، الطول: ٩٫٤ سم</t>
        </is>
      </c>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is>
          <t>https://mia.nadimfoundation.org/q18761-3</t>
        </is>
      </c>
      <c r="AT137" s="3">
        <f>IMAGE("https://api.qrserver.com/v1/create-qr-code/?size=300x300&amp;margin=8&amp;color=06444C&amp;bgcolor=EAE8D8&amp;data="&amp;ENCODEURL(AS137))</f>
        <v/>
      </c>
      <c r="AU137" s="3" t="inlineStr">
        <is>
          <t>Registered March 6, 1957</t>
        </is>
      </c>
      <c r="AV137" s="3" t="inlineStr">
        <is>
          <t>سجلت فى ٦ مارس ١٩٥٧</t>
        </is>
      </c>
      <c r="AW137" s="3" t="inlineStr">
        <is>
          <t>Submitted by Dr. Muhammad Mustafa</t>
        </is>
      </c>
      <c r="AX137" s="3" t="inlineStr">
        <is>
          <t>مقدمة من الدكتور محمد مصطفى</t>
        </is>
      </c>
      <c r="AY137" s="3" t="inlineStr">
        <is>
          <t>152</t>
        </is>
      </c>
      <c r="AZ137" s="3" t="inlineStr">
        <is>
          <t>254</t>
        </is>
      </c>
    </row>
    <row r="138">
      <c r="A138" s="3" t="inlineStr">
        <is>
          <t>18761-4</t>
        </is>
      </c>
      <c r="B138" s="3" t="inlineStr">
        <is>
          <t>Inv. no. 18761/4</t>
        </is>
      </c>
      <c r="C138" s="3" t="inlineStr">
        <is>
          <t>Double-Sided Comb</t>
        </is>
      </c>
      <c r="D138" s="3" t="inlineStr">
        <is>
          <t>مشط ذو أسنان من الجانبين</t>
        </is>
      </c>
      <c r="E138" s="3" t="inlineStr"/>
      <c r="F138" s="3" t="inlineStr"/>
      <c r="G138" s="3" t="inlineStr">
        <is>
          <t>Double-sided combs decorated with openwork designs, medallions, quincunxes, and ring-and-dot motifs, either recessed or flush with the surface. Handles are typically straight, though some examples feature a gentle curve or flare, or rounded finials.</t>
        </is>
      </c>
      <c r="H138"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38" s="3" t="inlineStr"/>
      <c r="J138" s="3" t="inlineStr"/>
      <c r="K138" s="3" t="inlineStr">
        <is>
          <t>W: 6.8 cm; H: 11.1 cm</t>
        </is>
      </c>
      <c r="L138" s="3" t="inlineStr">
        <is>
          <t>العرض: ٦٫٨ سم، الارتفاع: ١١٫١ سم</t>
        </is>
      </c>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is>
          <t>https://mia.nadimfoundation.org/q18761-4</t>
        </is>
      </c>
      <c r="AT138" s="3">
        <f>IMAGE("https://api.qrserver.com/v1/create-qr-code/?size=300x300&amp;margin=8&amp;color=06444C&amp;bgcolor=EAE8D8&amp;data="&amp;ENCODEURL(AS138))</f>
        <v/>
      </c>
      <c r="AU138" s="3" t="inlineStr">
        <is>
          <t>Registered March 6, 1957</t>
        </is>
      </c>
      <c r="AV138" s="3" t="inlineStr">
        <is>
          <t>سجلت فى ٦ مارس ١٩٥٧</t>
        </is>
      </c>
      <c r="AW138" s="3" t="inlineStr">
        <is>
          <t>Submitted by Dr. Muhammad Mustafa</t>
        </is>
      </c>
      <c r="AX138" s="3" t="inlineStr">
        <is>
          <t>مقدمة من الدكتور محمد مصطفى</t>
        </is>
      </c>
      <c r="AY138" s="3" t="inlineStr">
        <is>
          <t>153</t>
        </is>
      </c>
      <c r="AZ138" s="3" t="inlineStr">
        <is>
          <t>254</t>
        </is>
      </c>
    </row>
    <row r="139">
      <c r="A139" s="3" t="inlineStr">
        <is>
          <t>18761-5</t>
        </is>
      </c>
      <c r="B139" s="3" t="inlineStr">
        <is>
          <t>Inv. no. 18761/5</t>
        </is>
      </c>
      <c r="C139" s="3" t="inlineStr">
        <is>
          <t>Double-Sided Comb</t>
        </is>
      </c>
      <c r="D139" s="3" t="inlineStr">
        <is>
          <t>مشط ذو أسنان من الجانبين</t>
        </is>
      </c>
      <c r="E139" s="3" t="inlineStr"/>
      <c r="F139" s="3" t="inlineStr"/>
      <c r="G139" s="3" t="inlineStr">
        <is>
          <t>Double-sided combs decorated with openwork designs, medallions, quincunxes, and ring-and-dot motifs, either recessed or flush with the surface. Handles are typically straight, though some examples feature a gentle curve or flare, or rounded finials.</t>
        </is>
      </c>
      <c r="H139"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39" s="3" t="inlineStr"/>
      <c r="J139" s="3" t="inlineStr"/>
      <c r="K139" s="3" t="inlineStr">
        <is>
          <t>W: 5.5 cm; H: 11.2 cm</t>
        </is>
      </c>
      <c r="L139" s="3" t="inlineStr">
        <is>
          <t>العرض: ٥٫٥ سم، الارتفاع: ١١٫٢ سم</t>
        </is>
      </c>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is>
          <t>https://mia.nadimfoundation.org/q18761-5</t>
        </is>
      </c>
      <c r="AT139" s="3">
        <f>IMAGE("https://api.qrserver.com/v1/create-qr-code/?size=300x300&amp;margin=8&amp;color=06444C&amp;bgcolor=EAE8D8&amp;data="&amp;ENCODEURL(AS139))</f>
        <v/>
      </c>
      <c r="AU139" s="3" t="inlineStr">
        <is>
          <t>Registered March 6, 1957</t>
        </is>
      </c>
      <c r="AV139" s="3" t="inlineStr">
        <is>
          <t>سجلت فى ٦ مارس ١٩٥٧</t>
        </is>
      </c>
      <c r="AW139" s="3" t="inlineStr">
        <is>
          <t>Submitted by Dr. Muhammad Mustafa</t>
        </is>
      </c>
      <c r="AX139" s="3" t="inlineStr">
        <is>
          <t>مقدمة من الدكتور محمد مصطفى</t>
        </is>
      </c>
      <c r="AY139" s="3" t="inlineStr">
        <is>
          <t>154</t>
        </is>
      </c>
      <c r="AZ139" s="3" t="inlineStr">
        <is>
          <t>254</t>
        </is>
      </c>
    </row>
    <row r="140">
      <c r="A140" s="3" t="inlineStr">
        <is>
          <t>18761-6</t>
        </is>
      </c>
      <c r="B140" s="3" t="inlineStr">
        <is>
          <t>Inv. no. 18761/6</t>
        </is>
      </c>
      <c r="C140" s="3" t="inlineStr">
        <is>
          <t>Double-Sided Comb</t>
        </is>
      </c>
      <c r="D140" s="3" t="inlineStr">
        <is>
          <t>مشط ذو أسنان من الجانبين</t>
        </is>
      </c>
      <c r="E140" s="3" t="inlineStr"/>
      <c r="F140" s="3" t="inlineStr"/>
      <c r="G140" s="3" t="inlineStr">
        <is>
          <t>Double-sided combs decorated with openwork designs, medallions, quincunxes, and ring-and-dot motifs, either recessed or flush with the surface. Handles are typically straight, though some examples feature a gentle curve or flare, or rounded finials.</t>
        </is>
      </c>
      <c r="H140"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40" s="3" t="inlineStr"/>
      <c r="J140" s="3" t="inlineStr"/>
      <c r="K140" s="3" t="inlineStr">
        <is>
          <t>W: 3.3 cm; H: 12.3 cm</t>
        </is>
      </c>
      <c r="L140" s="3" t="inlineStr">
        <is>
          <t>العرض: ٣٫٣ سم، الارتفاع: ١٢٫٣ سم</t>
        </is>
      </c>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is>
          <t>https://mia.nadimfoundation.org/q18761-6</t>
        </is>
      </c>
      <c r="AT140" s="3">
        <f>IMAGE("https://api.qrserver.com/v1/create-qr-code/?size=300x300&amp;margin=8&amp;color=06444C&amp;bgcolor=EAE8D8&amp;data="&amp;ENCODEURL(AS140))</f>
        <v/>
      </c>
      <c r="AU140" s="3" t="inlineStr">
        <is>
          <t>Registered March 6, 1957</t>
        </is>
      </c>
      <c r="AV140" s="3" t="inlineStr">
        <is>
          <t>سجلت فى ٦ مارس ١٩٥٧</t>
        </is>
      </c>
      <c r="AW140" s="3" t="inlineStr">
        <is>
          <t>Submitted by Dr. Muhammad Mustafa</t>
        </is>
      </c>
      <c r="AX140" s="3" t="inlineStr">
        <is>
          <t>مقدمة من الدكتور محمد مصطفى</t>
        </is>
      </c>
      <c r="AY140" s="3" t="inlineStr">
        <is>
          <t>155</t>
        </is>
      </c>
      <c r="AZ140" s="3" t="inlineStr">
        <is>
          <t>254</t>
        </is>
      </c>
    </row>
    <row r="141">
      <c r="A141" s="3" t="inlineStr">
        <is>
          <t>18761-7</t>
        </is>
      </c>
      <c r="B141" s="3" t="inlineStr">
        <is>
          <t>Inv. no. 18761/7</t>
        </is>
      </c>
      <c r="C141" s="3" t="inlineStr">
        <is>
          <t>Double-Sided Comb</t>
        </is>
      </c>
      <c r="D141" s="3" t="inlineStr">
        <is>
          <t>مشط ذو أسنان من الجانبين</t>
        </is>
      </c>
      <c r="E141" s="3" t="inlineStr"/>
      <c r="F141" s="3" t="inlineStr"/>
      <c r="G141" s="3" t="inlineStr">
        <is>
          <t>Double-sided combs decorated with openwork designs, medallions, quincunxes, and ring-and-dot motifs, either recessed or flush with the surface. Handles are typically straight, though some examples feature a gentle curve or flare, or rounded finials.</t>
        </is>
      </c>
      <c r="H141"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41" s="3" t="inlineStr"/>
      <c r="J141" s="3" t="inlineStr"/>
      <c r="K141" s="3" t="inlineStr">
        <is>
          <t>W: 5.4 cm; H: 11 cm</t>
        </is>
      </c>
      <c r="L141" s="3" t="inlineStr">
        <is>
          <t>العرض: ٥٫٤ سم، الارتفاع: ١١ سم</t>
        </is>
      </c>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is>
          <t>https://mia.nadimfoundation.org/q18761-7</t>
        </is>
      </c>
      <c r="AT141" s="3">
        <f>IMAGE("https://api.qrserver.com/v1/create-qr-code/?size=300x300&amp;margin=8&amp;color=06444C&amp;bgcolor=EAE8D8&amp;data="&amp;ENCODEURL(AS141))</f>
        <v/>
      </c>
      <c r="AU141" s="3" t="inlineStr">
        <is>
          <t>Registered March 6, 1957</t>
        </is>
      </c>
      <c r="AV141" s="3" t="inlineStr">
        <is>
          <t>سجلت فى ٦ مارس ١٩٥٧</t>
        </is>
      </c>
      <c r="AW141" s="3" t="inlineStr">
        <is>
          <t>Submitted by Dr. Muhammad Mustafa</t>
        </is>
      </c>
      <c r="AX141" s="3" t="inlineStr">
        <is>
          <t>مقدمة من الدكتور محمد مصطفى</t>
        </is>
      </c>
      <c r="AY141" s="3" t="inlineStr">
        <is>
          <t>156</t>
        </is>
      </c>
      <c r="AZ141" s="3" t="inlineStr">
        <is>
          <t>254</t>
        </is>
      </c>
    </row>
    <row r="142">
      <c r="A142" s="3" t="inlineStr">
        <is>
          <t>18761-8</t>
        </is>
      </c>
      <c r="B142" s="3" t="inlineStr">
        <is>
          <t>Inv. no. 18761/8</t>
        </is>
      </c>
      <c r="C142" s="3" t="inlineStr">
        <is>
          <t>Double-Sided Comb</t>
        </is>
      </c>
      <c r="D142" s="3" t="inlineStr">
        <is>
          <t>مشط ذو أسنان من الجانبين</t>
        </is>
      </c>
      <c r="E142" s="3" t="inlineStr"/>
      <c r="F142" s="3" t="inlineStr"/>
      <c r="G142" s="3" t="inlineStr">
        <is>
          <t>Double-sided combs decorated with openwork designs, medallions, quincunxes, and ring-and-dot motifs, either recessed or flush with the surface. Handles are typically straight, though some examples feature a gentle curve or flare, or rounded finials.</t>
        </is>
      </c>
      <c r="H142"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42" s="3" t="inlineStr"/>
      <c r="J142" s="3" t="inlineStr"/>
      <c r="K142" s="3" t="inlineStr">
        <is>
          <t>W: 5.7 cm; H: 9.4 cm</t>
        </is>
      </c>
      <c r="L142" s="3" t="inlineStr">
        <is>
          <t>العرض: ٥٫٧ سم، الارتفاع: ٩٫٤ سم</t>
        </is>
      </c>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is>
          <t>https://mia.nadimfoundation.org/q18761-8</t>
        </is>
      </c>
      <c r="AT142" s="3">
        <f>IMAGE("https://api.qrserver.com/v1/create-qr-code/?size=300x300&amp;margin=8&amp;color=06444C&amp;bgcolor=EAE8D8&amp;data="&amp;ENCODEURL(AS142))</f>
        <v/>
      </c>
      <c r="AU142" s="3" t="inlineStr">
        <is>
          <t>Registered March 6, 1957</t>
        </is>
      </c>
      <c r="AV142" s="3" t="inlineStr">
        <is>
          <t>سجلت فى ٦ مارس ١٩٥٧</t>
        </is>
      </c>
      <c r="AW142" s="3" t="inlineStr">
        <is>
          <t>Submitted by Dr. Muhammad Mustafa</t>
        </is>
      </c>
      <c r="AX142" s="3" t="inlineStr">
        <is>
          <t>مقدمة من الدكتور محمد مصطفى</t>
        </is>
      </c>
      <c r="AY142" s="3" t="inlineStr">
        <is>
          <t>157</t>
        </is>
      </c>
      <c r="AZ142" s="3" t="inlineStr">
        <is>
          <t>254</t>
        </is>
      </c>
    </row>
    <row r="143">
      <c r="A143" s="3" t="inlineStr">
        <is>
          <t>18761-9</t>
        </is>
      </c>
      <c r="B143" s="3" t="inlineStr">
        <is>
          <t>Inv. no. 18761/9</t>
        </is>
      </c>
      <c r="C143" s="3" t="inlineStr">
        <is>
          <t>Double-Sided Comb</t>
        </is>
      </c>
      <c r="D143" s="3" t="inlineStr">
        <is>
          <t>مشط ذو أسنان من الجانبين</t>
        </is>
      </c>
      <c r="E143" s="3" t="inlineStr"/>
      <c r="F143" s="3" t="inlineStr"/>
      <c r="G143" s="3" t="inlineStr">
        <is>
          <t>Double-sided combs decorated with openwork designs, medallions, quincunxes, and ring-and-dot motifs, either recessed or flush with the surface. Handles are typically straight, though some examples feature a gentle curve or flare, or rounded finials.</t>
        </is>
      </c>
      <c r="H143"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43" s="3" t="inlineStr"/>
      <c r="J143" s="3" t="inlineStr"/>
      <c r="K143" s="3" t="inlineStr">
        <is>
          <t>W: 6.9 cm; H: 12.7 cm</t>
        </is>
      </c>
      <c r="L143" s="3" t="inlineStr">
        <is>
          <t>العرض: ٦٫٩ سم، الارتفاع: ١٢٫٧ سم</t>
        </is>
      </c>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is>
          <t>https://mia.nadimfoundation.org/q18761-9</t>
        </is>
      </c>
      <c r="AT143" s="3">
        <f>IMAGE("https://api.qrserver.com/v1/create-qr-code/?size=300x300&amp;margin=8&amp;color=06444C&amp;bgcolor=EAE8D8&amp;data="&amp;ENCODEURL(AS143))</f>
        <v/>
      </c>
      <c r="AU143" s="3" t="inlineStr">
        <is>
          <t>Registered March 6, 1957</t>
        </is>
      </c>
      <c r="AV143" s="3" t="inlineStr">
        <is>
          <t>سجلت فى ٦ مارس ١٩٥٧</t>
        </is>
      </c>
      <c r="AW143" s="3" t="inlineStr">
        <is>
          <t>Submitted by Dr. Muhammad Mustafa</t>
        </is>
      </c>
      <c r="AX143" s="3" t="inlineStr">
        <is>
          <t>مقدمة من الدكتور محمد مصطفى</t>
        </is>
      </c>
      <c r="AY143" s="3" t="inlineStr">
        <is>
          <t>158</t>
        </is>
      </c>
      <c r="AZ143" s="3" t="inlineStr">
        <is>
          <t>254</t>
        </is>
      </c>
    </row>
    <row r="144">
      <c r="A144" s="3" t="inlineStr">
        <is>
          <t>18761-10</t>
        </is>
      </c>
      <c r="B144" s="3" t="inlineStr">
        <is>
          <t>Inv. no. 18761/10</t>
        </is>
      </c>
      <c r="C144" s="3" t="inlineStr">
        <is>
          <t>Double-Sided Comb</t>
        </is>
      </c>
      <c r="D144" s="3" t="inlineStr">
        <is>
          <t>مشط ذو أسنان من الجانبين</t>
        </is>
      </c>
      <c r="E144" s="3" t="inlineStr"/>
      <c r="F144" s="3" t="inlineStr"/>
      <c r="G144" s="3" t="inlineStr">
        <is>
          <t>Double-sided combs decorated with openwork designs, medallions, quincunxes, and ring-and-dot motifs, either recessed or flush with the surface. Handles are typically straight, though some examples feature a gentle curve or flare, or rounded finials.</t>
        </is>
      </c>
      <c r="H144"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44" s="3" t="inlineStr"/>
      <c r="J144" s="3" t="inlineStr"/>
      <c r="K144" s="3" t="inlineStr">
        <is>
          <t>W: 5.3 cm; H: 9.5 cm</t>
        </is>
      </c>
      <c r="L144" s="3" t="inlineStr">
        <is>
          <t>العرض: ٥٫٩ سم، الارتفاع: ٩٫٧ سم</t>
        </is>
      </c>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is>
          <t>https://mia.nadimfoundation.org/q18761-10</t>
        </is>
      </c>
      <c r="AT144" s="3">
        <f>IMAGE("https://api.qrserver.com/v1/create-qr-code/?size=300x300&amp;margin=8&amp;color=06444C&amp;bgcolor=EAE8D8&amp;data="&amp;ENCODEURL(AS144))</f>
        <v/>
      </c>
      <c r="AU144" s="3" t="inlineStr">
        <is>
          <t>Registered March 6, 1957</t>
        </is>
      </c>
      <c r="AV144" s="3" t="inlineStr">
        <is>
          <t>سجلت فى ٦ مارس ١٩٥٧</t>
        </is>
      </c>
      <c r="AW144" s="3" t="inlineStr">
        <is>
          <t>Submitted by Dr. Muhammad Mustafa</t>
        </is>
      </c>
      <c r="AX144" s="3" t="inlineStr">
        <is>
          <t>مقدمة من الدكتور محمد مصطفى</t>
        </is>
      </c>
      <c r="AY144" s="3" t="inlineStr">
        <is>
          <t>159</t>
        </is>
      </c>
      <c r="AZ144" s="3" t="inlineStr">
        <is>
          <t>254</t>
        </is>
      </c>
    </row>
    <row r="145">
      <c r="A145" s="3" t="inlineStr">
        <is>
          <t>18761-11</t>
        </is>
      </c>
      <c r="B145" s="3" t="inlineStr">
        <is>
          <t>Inv. no. 18761/11</t>
        </is>
      </c>
      <c r="C145" s="3" t="inlineStr">
        <is>
          <t>Double-Sided Comb</t>
        </is>
      </c>
      <c r="D145" s="3" t="inlineStr">
        <is>
          <t>مشط ذو أسنان من الجانبين</t>
        </is>
      </c>
      <c r="E145" s="3" t="inlineStr"/>
      <c r="F145" s="3" t="inlineStr"/>
      <c r="G145" s="3" t="inlineStr">
        <is>
          <t>Double-sided combs decorated with openwork designs, medallions, quincunxes, and ring-and-dot motifs, either recessed or flush with the surface. Handles are typically straight, though some examples feature a gentle curve or flare, or rounded finials.</t>
        </is>
      </c>
      <c r="H145"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45" s="3" t="inlineStr"/>
      <c r="J145" s="3" t="inlineStr"/>
      <c r="K145" s="3" t="inlineStr">
        <is>
          <t>W: 7.8 cm; H: 11.3 cm</t>
        </is>
      </c>
      <c r="L145" s="3" t="inlineStr">
        <is>
          <t>العرض: ٧٫٨ سم، الارتفاع: ١١٫٣ سم</t>
        </is>
      </c>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is>
          <t>https://mia.nadimfoundation.org/q18761-11</t>
        </is>
      </c>
      <c r="AT145" s="3">
        <f>IMAGE("https://api.qrserver.com/v1/create-qr-code/?size=300x300&amp;margin=8&amp;color=06444C&amp;bgcolor=EAE8D8&amp;data="&amp;ENCODEURL(AS145))</f>
        <v/>
      </c>
      <c r="AU145" s="3" t="inlineStr">
        <is>
          <t>Registered March 6, 1957</t>
        </is>
      </c>
      <c r="AV145" s="3" t="inlineStr">
        <is>
          <t>سجلت فى ٦ مارس ١٩٥٧</t>
        </is>
      </c>
      <c r="AW145" s="3" t="inlineStr">
        <is>
          <t>Submitted by Dr. Muhammad Mustafa</t>
        </is>
      </c>
      <c r="AX145" s="3" t="inlineStr">
        <is>
          <t>مقدمة من الدكتور محمد مصطفى</t>
        </is>
      </c>
      <c r="AY145" s="3" t="inlineStr">
        <is>
          <t>160</t>
        </is>
      </c>
      <c r="AZ145" s="3" t="inlineStr">
        <is>
          <t>254</t>
        </is>
      </c>
    </row>
    <row r="146">
      <c r="A146" s="3" t="inlineStr">
        <is>
          <t>18761-12</t>
        </is>
      </c>
      <c r="B146" s="3" t="inlineStr">
        <is>
          <t>Inv. no. 18761/12</t>
        </is>
      </c>
      <c r="C146" s="3" t="inlineStr">
        <is>
          <t>Double-Sided Comb</t>
        </is>
      </c>
      <c r="D146" s="3" t="inlineStr">
        <is>
          <t>مشط ذو أسنان من الجانبين</t>
        </is>
      </c>
      <c r="E146" s="3" t="inlineStr"/>
      <c r="F146" s="3" t="inlineStr"/>
      <c r="G146" s="3" t="inlineStr">
        <is>
          <t>Double-sided combs decorated with openwork designs, medallions, quincunxes, and ring-and-dot motifs, either recessed or flush with the surface. Handles are typically straight, though some examples feature a gentle curve or flare, or rounded finials.</t>
        </is>
      </c>
      <c r="H146"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46" s="3" t="inlineStr"/>
      <c r="J146" s="3" t="inlineStr"/>
      <c r="K146" s="3" t="inlineStr">
        <is>
          <t>W: 4.2 cm; H: 11.5 cm</t>
        </is>
      </c>
      <c r="L146" s="3" t="inlineStr">
        <is>
          <t>العرض: ٤٫٢ سم، الإرتفاع: ١١٫٥ سم</t>
        </is>
      </c>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is>
          <t>https://mia.nadimfoundation.org/q18761-12</t>
        </is>
      </c>
      <c r="AT146" s="3">
        <f>IMAGE("https://api.qrserver.com/v1/create-qr-code/?size=300x300&amp;margin=8&amp;color=06444C&amp;bgcolor=EAE8D8&amp;data="&amp;ENCODEURL(AS146))</f>
        <v/>
      </c>
      <c r="AU146" s="3" t="inlineStr">
        <is>
          <t>Registered March 6, 1957</t>
        </is>
      </c>
      <c r="AV146" s="3" t="inlineStr">
        <is>
          <t>سجلت فى ٦ مارس ١٩٥٧</t>
        </is>
      </c>
      <c r="AW146" s="3" t="inlineStr">
        <is>
          <t>Submitted by Dr. Muhammad Mustafa</t>
        </is>
      </c>
      <c r="AX146" s="3" t="inlineStr">
        <is>
          <t>مقدمة من الدكتور محمد مصطفى</t>
        </is>
      </c>
      <c r="AY146" s="3" t="inlineStr">
        <is>
          <t>161</t>
        </is>
      </c>
      <c r="AZ146" s="3" t="inlineStr">
        <is>
          <t>254</t>
        </is>
      </c>
    </row>
    <row r="147">
      <c r="A147" s="3" t="inlineStr">
        <is>
          <t>18761-13</t>
        </is>
      </c>
      <c r="B147" s="3" t="inlineStr">
        <is>
          <t>Inv. no. 18761/13</t>
        </is>
      </c>
      <c r="C147" s="3" t="inlineStr">
        <is>
          <t>Double-Sided Comb</t>
        </is>
      </c>
      <c r="D147" s="3" t="inlineStr">
        <is>
          <t>مشط ذو أسنان من الجانبين</t>
        </is>
      </c>
      <c r="E147" s="3" t="inlineStr"/>
      <c r="F147" s="3" t="inlineStr"/>
      <c r="G147" s="3" t="inlineStr">
        <is>
          <t>Double-sided combs decorated with openwork designs, medallions, quincunxes, and ring-and-dot motifs, either recessed or flush with the surface. Handles are typically straight, though some examples feature a gentle curve or flare, or rounded finials.</t>
        </is>
      </c>
      <c r="H147"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47" s="3" t="inlineStr"/>
      <c r="J147" s="3" t="inlineStr"/>
      <c r="K147" s="3" t="inlineStr">
        <is>
          <t>W: 4.3 cm; H: 7.5 cm</t>
        </is>
      </c>
      <c r="L147" s="3" t="inlineStr">
        <is>
          <t>العرض: ٤٫٣ سم، الطول: ٧٫٥ سم</t>
        </is>
      </c>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is>
          <t>https://mia.nadimfoundation.org/q18761-13</t>
        </is>
      </c>
      <c r="AT147" s="3">
        <f>IMAGE("https://api.qrserver.com/v1/create-qr-code/?size=300x300&amp;margin=8&amp;color=06444C&amp;bgcolor=EAE8D8&amp;data="&amp;ENCODEURL(AS147))</f>
        <v/>
      </c>
      <c r="AU147" s="3" t="inlineStr">
        <is>
          <t>Registered March 6, 1957</t>
        </is>
      </c>
      <c r="AV147" s="3" t="inlineStr">
        <is>
          <t>سجلت فى ٦ مارس ١٩٥٧</t>
        </is>
      </c>
      <c r="AW147" s="3" t="inlineStr">
        <is>
          <t>Submitted by Dr. Muhammad Mustafa</t>
        </is>
      </c>
      <c r="AX147" s="3" t="inlineStr">
        <is>
          <t>مقدمة من الدكتور محمد مصطفى</t>
        </is>
      </c>
      <c r="AY147" s="3" t="inlineStr">
        <is>
          <t>162</t>
        </is>
      </c>
      <c r="AZ147" s="3" t="inlineStr">
        <is>
          <t>254</t>
        </is>
      </c>
    </row>
    <row r="148">
      <c r="A148" s="3" t="inlineStr">
        <is>
          <t>18761-14</t>
        </is>
      </c>
      <c r="B148" s="3" t="inlineStr">
        <is>
          <t>Inv. no. 18761/14</t>
        </is>
      </c>
      <c r="C148" s="3" t="inlineStr">
        <is>
          <t>Double-Sided Comb</t>
        </is>
      </c>
      <c r="D148" s="3" t="inlineStr">
        <is>
          <t>مشط ذو أسنان من الجانبين</t>
        </is>
      </c>
      <c r="E148" s="3" t="inlineStr"/>
      <c r="F148" s="3" t="inlineStr"/>
      <c r="G148" s="3" t="inlineStr">
        <is>
          <t>Double-sided combs decorated with openwork designs, medallions, quincunxes, and ring-and-dot motifs, either recessed or flush with the surface. Handles are typically straight, though some examples feature a gentle curve or flare, or rounded finials.</t>
        </is>
      </c>
      <c r="H148"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48" s="3" t="inlineStr"/>
      <c r="J148" s="3" t="inlineStr"/>
      <c r="K148" s="3" t="inlineStr">
        <is>
          <t>W: 6 cm; H: 11.6 cm</t>
        </is>
      </c>
      <c r="L148" s="3" t="inlineStr">
        <is>
          <t>العرض: ٦ سم، الطول: ١١٫٦ سم</t>
        </is>
      </c>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is>
          <t>https://mia.nadimfoundation.org/q18761-14</t>
        </is>
      </c>
      <c r="AT148" s="3">
        <f>IMAGE("https://api.qrserver.com/v1/create-qr-code/?size=300x300&amp;margin=8&amp;color=06444C&amp;bgcolor=EAE8D8&amp;data="&amp;ENCODEURL(AS148))</f>
        <v/>
      </c>
      <c r="AU148" s="3" t="inlineStr">
        <is>
          <t>Registered March 6, 1957</t>
        </is>
      </c>
      <c r="AV148" s="3" t="inlineStr">
        <is>
          <t>سجلت فى ٦ مارس ١٩٥٧</t>
        </is>
      </c>
      <c r="AW148" s="3" t="inlineStr">
        <is>
          <t>Submitted by Dr. Muhammad Mustafa</t>
        </is>
      </c>
      <c r="AX148" s="3" t="inlineStr">
        <is>
          <t>مقدمة من الدكتور محمد مصطفى</t>
        </is>
      </c>
      <c r="AY148" s="3" t="inlineStr">
        <is>
          <t>163</t>
        </is>
      </c>
      <c r="AZ148" s="3" t="inlineStr">
        <is>
          <t>254</t>
        </is>
      </c>
    </row>
    <row r="149">
      <c r="A149" s="3" t="inlineStr">
        <is>
          <t>18761-15</t>
        </is>
      </c>
      <c r="B149" s="3" t="inlineStr">
        <is>
          <t>Inv. no. 18761/15</t>
        </is>
      </c>
      <c r="C149" s="3" t="inlineStr">
        <is>
          <t>Double-Sided Comb</t>
        </is>
      </c>
      <c r="D149" s="3" t="inlineStr">
        <is>
          <t>مشط ذو أسنان من الجانبين</t>
        </is>
      </c>
      <c r="E149" s="3" t="inlineStr"/>
      <c r="F149" s="3" t="inlineStr"/>
      <c r="G149" s="3" t="inlineStr">
        <is>
          <t>Double-sided combs decorated with openwork designs, medallions, quincunxes, and ring-and-dot motifs, either recessed or flush with the surface. Handles are typically straight, though some examples feature a gentle curve or flare, or rounded finials.</t>
        </is>
      </c>
      <c r="H149"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49" s="3" t="inlineStr"/>
      <c r="J149" s="3" t="inlineStr"/>
      <c r="K149" s="3" t="inlineStr">
        <is>
          <t>W: 6.4 cm; H: 11.9 cm</t>
        </is>
      </c>
      <c r="L149" s="3" t="inlineStr">
        <is>
          <t>العرض: ٦٫٤ سم، الطول: ١١٫٩ سم</t>
        </is>
      </c>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is>
          <t>https://mia.nadimfoundation.org/q18761-15</t>
        </is>
      </c>
      <c r="AT149" s="3">
        <f>IMAGE("https://api.qrserver.com/v1/create-qr-code/?size=300x300&amp;margin=8&amp;color=06444C&amp;bgcolor=EAE8D8&amp;data="&amp;ENCODEURL(AS149))</f>
        <v/>
      </c>
      <c r="AU149" s="3" t="inlineStr">
        <is>
          <t>Registered March 6, 1957</t>
        </is>
      </c>
      <c r="AV149" s="3" t="inlineStr">
        <is>
          <t>سجلت فى ٦ مارس ١٩٥٧</t>
        </is>
      </c>
      <c r="AW149" s="3" t="inlineStr">
        <is>
          <t>Submitted by Dr. Muhammad Mustafa</t>
        </is>
      </c>
      <c r="AX149" s="3" t="inlineStr">
        <is>
          <t>مقدمة من الدكتور محمد مصطفى</t>
        </is>
      </c>
      <c r="AY149" s="3" t="inlineStr">
        <is>
          <t>164</t>
        </is>
      </c>
      <c r="AZ149" s="3" t="inlineStr">
        <is>
          <t>254</t>
        </is>
      </c>
    </row>
    <row r="150">
      <c r="A150" s="3" t="inlineStr">
        <is>
          <t>18761-16</t>
        </is>
      </c>
      <c r="B150" s="3" t="inlineStr">
        <is>
          <t>Inv. no. 18761/16</t>
        </is>
      </c>
      <c r="C150" s="3" t="inlineStr">
        <is>
          <t>Double-Sided Comb</t>
        </is>
      </c>
      <c r="D150" s="3" t="inlineStr">
        <is>
          <t>مشط ذو أسنان من الجانبين</t>
        </is>
      </c>
      <c r="E150" s="3" t="inlineStr"/>
      <c r="F150" s="3" t="inlineStr"/>
      <c r="G150" s="3" t="inlineStr">
        <is>
          <t>Double-sided combs decorated with openwork designs, medallions, quincunxes, and ring-and-dot motifs, either recessed or flush with the surface. Handles are typically straight, though some examples feature a gentle curve or flare, or rounded finials.</t>
        </is>
      </c>
      <c r="H150"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50" s="3" t="inlineStr"/>
      <c r="J150" s="3" t="inlineStr"/>
      <c r="K150" s="3" t="inlineStr">
        <is>
          <t>W: 6.4 cm; H: 10.2 cm</t>
        </is>
      </c>
      <c r="L150" s="3" t="inlineStr">
        <is>
          <t>العرض: ٦٫٤ سم، الطول: ١٠٫٢ سم</t>
        </is>
      </c>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is>
          <t>https://mia.nadimfoundation.org/q18761-16</t>
        </is>
      </c>
      <c r="AT150" s="3">
        <f>IMAGE("https://api.qrserver.com/v1/create-qr-code/?size=300x300&amp;margin=8&amp;color=06444C&amp;bgcolor=EAE8D8&amp;data="&amp;ENCODEURL(AS150))</f>
        <v/>
      </c>
      <c r="AU150" s="3" t="inlineStr">
        <is>
          <t>Registered March 6, 1957</t>
        </is>
      </c>
      <c r="AV150" s="3" t="inlineStr">
        <is>
          <t>سجلت فى ٦ مارس ١٩٥٧</t>
        </is>
      </c>
      <c r="AW150" s="3" t="inlineStr">
        <is>
          <t>Submitted by Dr. Muhammad Mustafa</t>
        </is>
      </c>
      <c r="AX150" s="3" t="inlineStr">
        <is>
          <t>مقدمة من الدكتور محمد مصطفى</t>
        </is>
      </c>
      <c r="AY150" s="3" t="inlineStr">
        <is>
          <t>165</t>
        </is>
      </c>
      <c r="AZ150" s="3" t="inlineStr">
        <is>
          <t>254</t>
        </is>
      </c>
    </row>
    <row r="151">
      <c r="A151" s="3" t="inlineStr">
        <is>
          <t>18761-17</t>
        </is>
      </c>
      <c r="B151" s="3" t="inlineStr">
        <is>
          <t>Inv. no. 18761/17</t>
        </is>
      </c>
      <c r="C151" s="3" t="inlineStr">
        <is>
          <t>Double-Sided Comb</t>
        </is>
      </c>
      <c r="D151" s="3" t="inlineStr">
        <is>
          <t>مشط ذو أسنان من الجانبين</t>
        </is>
      </c>
      <c r="E151" s="3" t="inlineStr"/>
      <c r="F151" s="3" t="inlineStr"/>
      <c r="G151" s="3" t="inlineStr">
        <is>
          <t>Double-sided combs decorated with openwork designs, medallions, quincunxes, and ring-and-dot motifs, either recessed or flush with the surface. Handles are typically straight, though some examples feature a gentle curve or flare, or rounded finials.</t>
        </is>
      </c>
      <c r="H151"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51" s="3" t="inlineStr"/>
      <c r="J151" s="3" t="inlineStr"/>
      <c r="K151" s="3" t="inlineStr">
        <is>
          <t>W: 5.9 cm; H: 13.2 cm</t>
        </is>
      </c>
      <c r="L151" s="3" t="inlineStr">
        <is>
          <t>العرض: ٥٫٩ سم، الطول: ١٣٫٢ سم</t>
        </is>
      </c>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is>
          <t>https://mia.nadimfoundation.org/q18761-17</t>
        </is>
      </c>
      <c r="AT151" s="3">
        <f>IMAGE("https://api.qrserver.com/v1/create-qr-code/?size=300x300&amp;margin=8&amp;color=06444C&amp;bgcolor=EAE8D8&amp;data="&amp;ENCODEURL(AS151))</f>
        <v/>
      </c>
      <c r="AU151" s="3" t="inlineStr">
        <is>
          <t>Registered March 6, 1957</t>
        </is>
      </c>
      <c r="AV151" s="3" t="inlineStr">
        <is>
          <t>سجلت فى ٦ مارس ١٩٥٧</t>
        </is>
      </c>
      <c r="AW151" s="3" t="inlineStr">
        <is>
          <t>Submitted by Dr. Muhammad Mustafa</t>
        </is>
      </c>
      <c r="AX151" s="3" t="inlineStr">
        <is>
          <t>مقدمة من الدكتور محمد مصطفى</t>
        </is>
      </c>
      <c r="AY151" s="3" t="inlineStr">
        <is>
          <t>166</t>
        </is>
      </c>
      <c r="AZ151" s="3" t="inlineStr">
        <is>
          <t>254</t>
        </is>
      </c>
    </row>
    <row r="152">
      <c r="A152" s="3" t="inlineStr">
        <is>
          <t>18761-19</t>
        </is>
      </c>
      <c r="B152" s="3" t="inlineStr">
        <is>
          <t>Inv. no. 18761/19</t>
        </is>
      </c>
      <c r="C152" s="3" t="inlineStr">
        <is>
          <t>Double-Sided Comb</t>
        </is>
      </c>
      <c r="D152" s="3" t="inlineStr">
        <is>
          <t>مشط ذو أسنان من الجانبين</t>
        </is>
      </c>
      <c r="E152" s="3" t="inlineStr"/>
      <c r="F152" s="3" t="inlineStr"/>
      <c r="G152" s="3" t="inlineStr">
        <is>
          <t>Double-sided combs decorated with openwork designs, medallions, quincunxes, and ring-and-dot motifs, either recessed or flush with the surface. Handles are typically straight, though some examples feature a gentle curve or flare, or rounded finials.</t>
        </is>
      </c>
      <c r="H152"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52" s="3" t="inlineStr"/>
      <c r="J152" s="3" t="inlineStr"/>
      <c r="K152" s="3" t="inlineStr">
        <is>
          <t>W: 5.2 cm; H: 11.8 cm</t>
        </is>
      </c>
      <c r="L152" s="3" t="inlineStr">
        <is>
          <t>العرض: ٥٫٢ سم، الطول: ١١٫٨ سم</t>
        </is>
      </c>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is>
          <t>https://mia.nadimfoundation.org/q18761-19</t>
        </is>
      </c>
      <c r="AT152" s="3">
        <f>IMAGE("https://api.qrserver.com/v1/create-qr-code/?size=300x300&amp;margin=8&amp;color=06444C&amp;bgcolor=EAE8D8&amp;data="&amp;ENCODEURL(AS152))</f>
        <v/>
      </c>
      <c r="AU152" s="3" t="inlineStr">
        <is>
          <t>Registered March 6, 1957</t>
        </is>
      </c>
      <c r="AV152" s="3" t="inlineStr">
        <is>
          <t>سجلت فى ٦ مارس ١٩٥٧</t>
        </is>
      </c>
      <c r="AW152" s="3" t="inlineStr">
        <is>
          <t>Submitted by Dr. Muhammad Mustafa</t>
        </is>
      </c>
      <c r="AX152" s="3" t="inlineStr">
        <is>
          <t>مقدمة من الدكتور محمد مصطفى</t>
        </is>
      </c>
      <c r="AY152" s="3" t="inlineStr">
        <is>
          <t>167</t>
        </is>
      </c>
      <c r="AZ152" s="3" t="inlineStr">
        <is>
          <t>254</t>
        </is>
      </c>
    </row>
    <row r="153">
      <c r="A153" s="3" t="inlineStr">
        <is>
          <t>18761-20</t>
        </is>
      </c>
      <c r="B153" s="3" t="inlineStr">
        <is>
          <t>Inv. no. 18761/20</t>
        </is>
      </c>
      <c r="C153" s="3" t="inlineStr">
        <is>
          <t>Double-Sided Comb</t>
        </is>
      </c>
      <c r="D153" s="3" t="inlineStr">
        <is>
          <t>مشط ذو أسنان من الجانبين</t>
        </is>
      </c>
      <c r="E153" s="3" t="inlineStr"/>
      <c r="F153" s="3" t="inlineStr"/>
      <c r="G153" s="3" t="inlineStr">
        <is>
          <t>Double-sided combs decorated with openwork designs, medallions, quincunxes, and ring-and-dot motifs, either recessed or flush with the surface. Handles are typically straight, though some examples feature a gentle curve or flare, or rounded finials.</t>
        </is>
      </c>
      <c r="H153"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53" s="3" t="inlineStr"/>
      <c r="J153" s="3" t="inlineStr"/>
      <c r="K153" s="3" t="inlineStr">
        <is>
          <t>W: 3.2 cm; H: 10.5 cm</t>
        </is>
      </c>
      <c r="L153" s="3" t="inlineStr">
        <is>
          <t>العرض: ٣٫٢ سم، الارتفاع: ١٠٫٥ سم</t>
        </is>
      </c>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is>
          <t>https://mia.nadimfoundation.org/q18761-20</t>
        </is>
      </c>
      <c r="AT153" s="3">
        <f>IMAGE("https://api.qrserver.com/v1/create-qr-code/?size=300x300&amp;margin=8&amp;color=06444C&amp;bgcolor=EAE8D8&amp;data="&amp;ENCODEURL(AS153))</f>
        <v/>
      </c>
      <c r="AU153" s="3" t="inlineStr">
        <is>
          <t>Registered March 6, 1957</t>
        </is>
      </c>
      <c r="AV153" s="3" t="inlineStr">
        <is>
          <t>سجلت فى ٦ مارس ١٩٥٧</t>
        </is>
      </c>
      <c r="AW153" s="3" t="inlineStr">
        <is>
          <t>Submitted by Dr. Muhammad Mustafa</t>
        </is>
      </c>
      <c r="AX153" s="3" t="inlineStr">
        <is>
          <t>مقدمة من الدكتور محمد مصطفى</t>
        </is>
      </c>
      <c r="AY153" s="3" t="inlineStr">
        <is>
          <t>168</t>
        </is>
      </c>
      <c r="AZ153" s="3" t="inlineStr">
        <is>
          <t>254</t>
        </is>
      </c>
    </row>
    <row r="154">
      <c r="A154" s="3" t="inlineStr">
        <is>
          <t>18761-21</t>
        </is>
      </c>
      <c r="B154" s="3" t="inlineStr">
        <is>
          <t>Inv. no. 18761/21</t>
        </is>
      </c>
      <c r="C154" s="3" t="inlineStr">
        <is>
          <t>Double-Sided Comb</t>
        </is>
      </c>
      <c r="D154" s="3" t="inlineStr">
        <is>
          <t>مشط ذو أسنان من الجانبين</t>
        </is>
      </c>
      <c r="E154" s="3" t="inlineStr"/>
      <c r="F154" s="3" t="inlineStr"/>
      <c r="G154" s="3" t="inlineStr">
        <is>
          <t>Double-sided combs decorated with openwork designs, medallions, quincunxes, and ring-and-dot motifs, either recessed or flush with the surface. Handles are typically straight, though some examples feature a gentle curve or flare, or rounded finials.</t>
        </is>
      </c>
      <c r="H154"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54" s="3" t="inlineStr"/>
      <c r="J154" s="3" t="inlineStr"/>
      <c r="K154" s="3" t="inlineStr">
        <is>
          <t>W: 4.5 cm; H: 11.4 cm</t>
        </is>
      </c>
      <c r="L154" s="3" t="inlineStr">
        <is>
          <t>العرض: ٤٫٥ سم، الطول: ١١٫٤ سم</t>
        </is>
      </c>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is>
          <t>https://mia.nadimfoundation.org/q18761-21</t>
        </is>
      </c>
      <c r="AT154" s="3">
        <f>IMAGE("https://api.qrserver.com/v1/create-qr-code/?size=300x300&amp;margin=8&amp;color=06444C&amp;bgcolor=EAE8D8&amp;data="&amp;ENCODEURL(AS154))</f>
        <v/>
      </c>
      <c r="AU154" s="3" t="inlineStr">
        <is>
          <t>Registered March 6, 1957</t>
        </is>
      </c>
      <c r="AV154" s="3" t="inlineStr">
        <is>
          <t>سجلت فى ٦ مارس ١٩٥٧</t>
        </is>
      </c>
      <c r="AW154" s="3" t="inlineStr">
        <is>
          <t>Submitted by Dr. Muhammad Mustafa</t>
        </is>
      </c>
      <c r="AX154" s="3" t="inlineStr">
        <is>
          <t>مقدمة من الدكتور محمد مصطفى</t>
        </is>
      </c>
      <c r="AY154" s="3" t="inlineStr">
        <is>
          <t>169</t>
        </is>
      </c>
      <c r="AZ154" s="3" t="inlineStr">
        <is>
          <t>254</t>
        </is>
      </c>
    </row>
    <row r="155">
      <c r="A155" s="3" t="inlineStr">
        <is>
          <t>18761-22</t>
        </is>
      </c>
      <c r="B155" s="3" t="inlineStr">
        <is>
          <t>Inv. no. 18761/22</t>
        </is>
      </c>
      <c r="C155" s="3" t="inlineStr">
        <is>
          <t>Double-Sided Comb</t>
        </is>
      </c>
      <c r="D155" s="3" t="inlineStr">
        <is>
          <t>مشط ذو أسنان من الجانبين</t>
        </is>
      </c>
      <c r="E155" s="3" t="inlineStr"/>
      <c r="F155" s="3" t="inlineStr"/>
      <c r="G155" s="3" t="inlineStr">
        <is>
          <t>Double-sided combs decorated with openwork designs, medallions, quincunxes, and ring-and-dot motifs, either recessed or flush with the surface. Handles are typically straight, though some examples feature a gentle curve or flare, or rounded finials.</t>
        </is>
      </c>
      <c r="H155"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55" s="3" t="inlineStr"/>
      <c r="J155" s="3" t="inlineStr"/>
      <c r="K155" s="3" t="inlineStr">
        <is>
          <t>W: 3.9 cm; H: 8 cm</t>
        </is>
      </c>
      <c r="L155" s="3" t="inlineStr">
        <is>
          <t>العرض: ٣٫٩ سم، الارتفاع: ٨ سم</t>
        </is>
      </c>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is>
          <t>https://mia.nadimfoundation.org/q18761-22</t>
        </is>
      </c>
      <c r="AT155" s="3">
        <f>IMAGE("https://api.qrserver.com/v1/create-qr-code/?size=300x300&amp;margin=8&amp;color=06444C&amp;bgcolor=EAE8D8&amp;data="&amp;ENCODEURL(AS155))</f>
        <v/>
      </c>
      <c r="AU155" s="3" t="inlineStr">
        <is>
          <t>Registered March 6, 1957</t>
        </is>
      </c>
      <c r="AV155" s="3" t="inlineStr">
        <is>
          <t>سجلت فى ٦ مارس ١٩٥٧</t>
        </is>
      </c>
      <c r="AW155" s="3" t="inlineStr">
        <is>
          <t>Submitted by Dr. Muhammad Mustafa</t>
        </is>
      </c>
      <c r="AX155" s="3" t="inlineStr">
        <is>
          <t>مقدمة من الدكتور محمد مصطفى</t>
        </is>
      </c>
      <c r="AY155" s="3" t="inlineStr">
        <is>
          <t>170</t>
        </is>
      </c>
      <c r="AZ155" s="3" t="inlineStr">
        <is>
          <t>254</t>
        </is>
      </c>
    </row>
    <row r="156">
      <c r="A156" s="3" t="inlineStr">
        <is>
          <t>18761-23</t>
        </is>
      </c>
      <c r="B156" s="3" t="inlineStr">
        <is>
          <t>Inv. no. 18761/23</t>
        </is>
      </c>
      <c r="C156" s="3" t="inlineStr">
        <is>
          <t>Double-Sided Comb</t>
        </is>
      </c>
      <c r="D156" s="3" t="inlineStr">
        <is>
          <t>مشط ذو أسنان من الجانبين</t>
        </is>
      </c>
      <c r="E156" s="3" t="inlineStr"/>
      <c r="F156" s="3" t="inlineStr"/>
      <c r="G156" s="3" t="inlineStr">
        <is>
          <t>Double-sided combs decorated with openwork designs, medallions, quincunxes, and ring-and-dot motifs, either recessed or flush with the surface. Handles are typically straight, though some examples feature a gentle curve or flare, or rounded finials.</t>
        </is>
      </c>
      <c r="H156"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56" s="3" t="inlineStr"/>
      <c r="J156" s="3" t="inlineStr"/>
      <c r="K156" s="3" t="inlineStr">
        <is>
          <t>W: 3.1 cm; H: 12.1 cm</t>
        </is>
      </c>
      <c r="L156" s="3" t="inlineStr">
        <is>
          <t>العرض: ٣٫١ سم، الارتفاع: ١٢٫١ سم</t>
        </is>
      </c>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is>
          <t>https://mia.nadimfoundation.org/q18761-23</t>
        </is>
      </c>
      <c r="AT156" s="3">
        <f>IMAGE("https://api.qrserver.com/v1/create-qr-code/?size=300x300&amp;margin=8&amp;color=06444C&amp;bgcolor=EAE8D8&amp;data="&amp;ENCODEURL(AS156))</f>
        <v/>
      </c>
      <c r="AU156" s="3" t="inlineStr">
        <is>
          <t>Registered March 6, 1957</t>
        </is>
      </c>
      <c r="AV156" s="3" t="inlineStr">
        <is>
          <t>سجلت فى ٦ مارس ١٩٥٧</t>
        </is>
      </c>
      <c r="AW156" s="3" t="inlineStr">
        <is>
          <t>Submitted by Dr. Muhammad Mustafa</t>
        </is>
      </c>
      <c r="AX156" s="3" t="inlineStr">
        <is>
          <t>مقدمة من الدكتور محمد مصطفى</t>
        </is>
      </c>
      <c r="AY156" s="3" t="inlineStr">
        <is>
          <t>171</t>
        </is>
      </c>
      <c r="AZ156" s="3" t="inlineStr">
        <is>
          <t>254</t>
        </is>
      </c>
    </row>
    <row r="157">
      <c r="A157" s="3" t="inlineStr">
        <is>
          <t>18761-24</t>
        </is>
      </c>
      <c r="B157" s="3" t="inlineStr">
        <is>
          <t>Inv. no. 18761/24</t>
        </is>
      </c>
      <c r="C157" s="3" t="inlineStr">
        <is>
          <t>Double-Sided Comb</t>
        </is>
      </c>
      <c r="D157" s="3" t="inlineStr">
        <is>
          <t>مشط ذو أسنان من الجانبين</t>
        </is>
      </c>
      <c r="E157" s="3" t="inlineStr"/>
      <c r="F157" s="3" t="inlineStr"/>
      <c r="G157" s="3" t="inlineStr">
        <is>
          <t>Double-sided combs decorated with openwork designs, medallions, quincunxes, and ring-and-dot motifs, either recessed or flush with the surface. Handles are typically straight, though some examples feature a gentle curve or flare, or rounded finials.</t>
        </is>
      </c>
      <c r="H157" s="3" t="inlineStr">
        <is>
          <t>أمشاط ذات أسنان من الجانبين تزدان بتصاميم مفرغة وجامات وأشكال خماسية وزخارف الحلقة والنقطة، سواء كانت غائرة أو مستوية مع السطح. وتأتى المقابض عادة مستقيمة، وإن كانت بعض النماذج تتميز بانحناءات أو أطراف متباعدة، أو حواف مستديرة.</t>
        </is>
      </c>
      <c r="I157" s="3" t="inlineStr"/>
      <c r="J157" s="3" t="inlineStr"/>
      <c r="K157" s="3" t="inlineStr">
        <is>
          <t>W: 7.7 cm; H: 9.3 cm</t>
        </is>
      </c>
      <c r="L157" s="3" t="inlineStr">
        <is>
          <t>العرض: ٧٫٧ سم، الطول: ٩٫٣ سم</t>
        </is>
      </c>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is>
          <t>https://mia.nadimfoundation.org/q18761-24</t>
        </is>
      </c>
      <c r="AT157" s="3">
        <f>IMAGE("https://api.qrserver.com/v1/create-qr-code/?size=300x300&amp;margin=8&amp;color=06444C&amp;bgcolor=EAE8D8&amp;data="&amp;ENCODEURL(AS157))</f>
        <v/>
      </c>
      <c r="AU157" s="3" t="inlineStr">
        <is>
          <t>Registered March 6, 1957</t>
        </is>
      </c>
      <c r="AV157" s="3" t="inlineStr">
        <is>
          <t>سجلت فى ٦ مارس ١٩٥٧</t>
        </is>
      </c>
      <c r="AW157" s="3" t="inlineStr">
        <is>
          <t>Submitted by Dr. Muhammad Mustafa</t>
        </is>
      </c>
      <c r="AX157" s="3" t="inlineStr">
        <is>
          <t>مقدمة من الدكتور محمد مصطفى</t>
        </is>
      </c>
      <c r="AY157" s="3" t="inlineStr">
        <is>
          <t>172</t>
        </is>
      </c>
      <c r="AZ157" s="3" t="inlineStr">
        <is>
          <t>254</t>
        </is>
      </c>
    </row>
    <row r="158">
      <c r="A158" s="3" t="inlineStr">
        <is>
          <t>4948</t>
        </is>
      </c>
      <c r="B158" s="3" t="inlineStr">
        <is>
          <t>Inv. no. 4948</t>
        </is>
      </c>
      <c r="C158" s="3" t="inlineStr">
        <is>
          <t>Double-Sided Comb</t>
        </is>
      </c>
      <c r="D158" s="3" t="inlineStr">
        <is>
          <t>مشط ذو أسنان من الجانبين</t>
        </is>
      </c>
      <c r="E158" s="3" t="inlineStr">
        <is>
          <t>From the ruins of al-Fustat</t>
        </is>
      </c>
      <c r="F158" s="3" t="inlineStr">
        <is>
          <t>من آثار الفسطاط</t>
        </is>
      </c>
      <c r="G158" s="3" t="inlineStr">
        <is>
          <t>Part of a wooden comb, decorated with differing designs on both faces: one face bears a linear composition of intertwined geometric and vegetal designs, while the other is decorated with a sunken rectangle with rounded finials, and half a sunken medallion.</t>
        </is>
      </c>
      <c r="H158" s="3" t="inlineStr">
        <is>
          <t>جزء من مشط خشبى مزين بزخارف مختلفة على كلا الوجهين، ويحمل أحد الوجهين تكوينا خطيا من زخارف هندسية ونباتية متداخلة، بينما يزدان الوجه الآخر بمستطيل غائر ذى نهايات مستديرة، ونصف جامة غائرة.</t>
        </is>
      </c>
      <c r="I158" s="3" t="inlineStr"/>
      <c r="J158" s="3" t="inlineStr"/>
      <c r="K158" s="3" t="inlineStr">
        <is>
          <t>W: 6 cm; H: 9.5 cm</t>
        </is>
      </c>
      <c r="L158" s="3" t="inlineStr">
        <is>
          <t>العرض: ٦ سم، الطول: ٩٫٥ سم</t>
        </is>
      </c>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is>
          <t>https://mia.nadimfoundation.org/q4948</t>
        </is>
      </c>
      <c r="AT158" s="3">
        <f>IMAGE("https://api.qrserver.com/v1/create-qr-code/?size=300x300&amp;margin=8&amp;color=06444C&amp;bgcolor=EAE8D8&amp;data="&amp;ENCODEURL(AS158))</f>
        <v/>
      </c>
      <c r="AU158" s="3" t="inlineStr"/>
      <c r="AV158" s="3" t="inlineStr"/>
      <c r="AW158" s="3" t="inlineStr"/>
      <c r="AX158" s="3" t="inlineStr"/>
      <c r="AY158" s="3" t="inlineStr"/>
      <c r="AZ158" s="3" t="inlineStr">
        <is>
          <t>270</t>
        </is>
      </c>
    </row>
    <row r="159">
      <c r="A159" s="3" t="inlineStr">
        <is>
          <t>4949</t>
        </is>
      </c>
      <c r="B159" s="3" t="inlineStr">
        <is>
          <t>Inv. no. 4949</t>
        </is>
      </c>
      <c r="C159" s="3" t="inlineStr">
        <is>
          <t>Double-Sided Comb</t>
        </is>
      </c>
      <c r="D159" s="3" t="inlineStr">
        <is>
          <t>مشط ذو أسنان من الجانبين</t>
        </is>
      </c>
      <c r="E159" s="3" t="inlineStr">
        <is>
          <t>From the ruins of al-Fustat</t>
        </is>
      </c>
      <c r="F159" s="3" t="inlineStr">
        <is>
          <t>من آثار الفسطاط</t>
        </is>
      </c>
      <c r="G159" s="3" t="inlineStr">
        <is>
          <t>Half a wooden comb decorated with edge-to-edge medallions with inscribed hexagons and six-petalled flowers. The larger set of teeth alternate in depth, creating a subtle rhythmic effect.</t>
        </is>
      </c>
      <c r="H159" s="3" t="inlineStr">
        <is>
          <t>نصف مشط خشبى مزخرف بجامات متلاصقة تمتد من حافة إلى أخرى، تضم مثمنات منقوشة وزهورا سداسية البتلات، وتتناوب الأسنان الأكبر حجما فى عمقها، مما يحدث إيقاعا بصريا خفيفا.</t>
        </is>
      </c>
      <c r="I159" s="3" t="inlineStr"/>
      <c r="J159" s="3" t="inlineStr"/>
      <c r="K159" s="3" t="inlineStr">
        <is>
          <t>W: 7.1 cm; H: 11.3 cm</t>
        </is>
      </c>
      <c r="L159" s="3" t="inlineStr">
        <is>
          <t>العرض: ٧٫١ سم، الطول: ١١٫٣ سم</t>
        </is>
      </c>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is>
          <t>https://mia.nadimfoundation.org/q4949</t>
        </is>
      </c>
      <c r="AT159" s="3">
        <f>IMAGE("https://api.qrserver.com/v1/create-qr-code/?size=300x300&amp;margin=8&amp;color=06444C&amp;bgcolor=EAE8D8&amp;data="&amp;ENCODEURL(AS159))</f>
        <v/>
      </c>
      <c r="AU159" s="3" t="inlineStr"/>
      <c r="AV159" s="3" t="inlineStr"/>
      <c r="AW159" s="3" t="inlineStr"/>
      <c r="AX159" s="3" t="inlineStr"/>
      <c r="AY159" s="3" t="inlineStr"/>
      <c r="AZ159" s="3" t="inlineStr">
        <is>
          <t>271</t>
        </is>
      </c>
    </row>
    <row r="160">
      <c r="A160" s="3" t="inlineStr">
        <is>
          <t>4950</t>
        </is>
      </c>
      <c r="B160" s="3" t="inlineStr">
        <is>
          <t>Inv. no. 4950</t>
        </is>
      </c>
      <c r="C160" s="3" t="inlineStr">
        <is>
          <t>Double-Sided Comb</t>
        </is>
      </c>
      <c r="D160" s="3" t="inlineStr">
        <is>
          <t>مشط ذو أسنان من الجانبين</t>
        </is>
      </c>
      <c r="E160" s="3" t="inlineStr">
        <is>
          <t>From the ruins of al-Fustat</t>
        </is>
      </c>
      <c r="F160" s="3" t="inlineStr">
        <is>
          <t>من آثار الفسطاط</t>
        </is>
      </c>
      <c r="G160" s="3" t="inlineStr">
        <is>
          <t>Part of a wooden comb decorated with large upright trefoils inscribed under the arches of an undulating vine scrolls.</t>
        </is>
      </c>
      <c r="H160" s="3" t="inlineStr">
        <is>
          <t>جزء من مشط خشبى يزين بثلاثيات أوراق قائمة كبيرة، منقوشة تحت أقواس ساق نباتية متموجة.</t>
        </is>
      </c>
      <c r="I160" s="3" t="inlineStr"/>
      <c r="J160" s="3" t="inlineStr"/>
      <c r="K160" s="3" t="inlineStr">
        <is>
          <t>W: 6.6 cm; H: 9.8 cm</t>
        </is>
      </c>
      <c r="L160" s="3" t="inlineStr">
        <is>
          <t>العرض: ٦٫٦ سم، الطول: ٩٫٨ سم</t>
        </is>
      </c>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is>
          <t>https://mia.nadimfoundation.org/q4950</t>
        </is>
      </c>
      <c r="AT160" s="3">
        <f>IMAGE("https://api.qrserver.com/v1/create-qr-code/?size=300x300&amp;margin=8&amp;color=06444C&amp;bgcolor=EAE8D8&amp;data="&amp;ENCODEURL(AS160))</f>
        <v/>
      </c>
      <c r="AU160" s="3" t="inlineStr"/>
      <c r="AV160" s="3" t="inlineStr"/>
      <c r="AW160" s="3" t="inlineStr"/>
      <c r="AX160" s="3" t="inlineStr"/>
      <c r="AY160" s="3" t="inlineStr"/>
      <c r="AZ160" s="3" t="inlineStr">
        <is>
          <t>272</t>
        </is>
      </c>
    </row>
    <row r="161">
      <c r="A161" s="3" t="inlineStr">
        <is>
          <t>6120-2</t>
        </is>
      </c>
      <c r="B161" s="3" t="inlineStr">
        <is>
          <t>Inv. no. 6120/2</t>
        </is>
      </c>
      <c r="C161" s="3" t="inlineStr">
        <is>
          <t>Double-Sided Comb</t>
        </is>
      </c>
      <c r="D161" s="3" t="inlineStr">
        <is>
          <t>مشط ذو أسنان من الجانبين</t>
        </is>
      </c>
      <c r="E161" s="3" t="inlineStr"/>
      <c r="F161" s="3" t="inlineStr"/>
      <c r="G161" s="3" t="inlineStr">
        <is>
          <t>Wooden comb with a central band with prominent vegetal arabesques carved in a style reminiscent of the so-called bevelled-style, or Samarra C.</t>
        </is>
      </c>
      <c r="H161" s="3" t="inlineStr">
        <is>
          <t>مشط خشبى يتوسطه شريط بزخارف أرابيسك نباتية بارزة، تم حفره بما يعرف بــ«الأسلوب المائل» أو «سامراء (ج)».</t>
        </is>
      </c>
      <c r="I161" s="3" t="inlineStr"/>
      <c r="J161" s="3" t="inlineStr"/>
      <c r="K161" s="3" t="inlineStr">
        <is>
          <t>W: 9.2 cm; H: 10.6 cm</t>
        </is>
      </c>
      <c r="L161" s="3" t="inlineStr">
        <is>
          <t>العرض: ٩٫٢ سم، الطول: ١٠٫٦ سم</t>
        </is>
      </c>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is>
          <t>https://mia.nadimfoundation.org/q6120-2</t>
        </is>
      </c>
      <c r="AT161" s="3">
        <f>IMAGE("https://api.qrserver.com/v1/create-qr-code/?size=300x300&amp;margin=8&amp;color=06444C&amp;bgcolor=EAE8D8&amp;data="&amp;ENCODEURL(AS161))</f>
        <v/>
      </c>
      <c r="AU161" s="3" t="inlineStr">
        <is>
          <t>Registered June 7, 1922</t>
        </is>
      </c>
      <c r="AV161" s="3" t="inlineStr">
        <is>
          <t>سجل فى ٧ يونيو ١٩٥٧</t>
        </is>
      </c>
      <c r="AW161" s="3" t="inlineStr">
        <is>
          <t>Purchased from the Makufiyas Brothers</t>
        </is>
      </c>
      <c r="AX161" s="3" t="inlineStr">
        <is>
          <t>مشترى من الإخوة مكوفياس</t>
        </is>
      </c>
      <c r="AY161" s="3" t="inlineStr"/>
      <c r="AZ161" s="3" t="inlineStr">
        <is>
          <t>273</t>
        </is>
      </c>
    </row>
    <row r="162">
      <c r="A162" s="3" t="inlineStr">
        <is>
          <t>9015</t>
        </is>
      </c>
      <c r="B162" s="3" t="inlineStr">
        <is>
          <t>Inv. no. 9015</t>
        </is>
      </c>
      <c r="C162" s="3" t="inlineStr">
        <is>
          <t>Double-Sided Comb</t>
        </is>
      </c>
      <c r="D162" s="3" t="inlineStr">
        <is>
          <t>مشط ذو أسنان من الجانبين</t>
        </is>
      </c>
      <c r="E162" s="3" t="inlineStr"/>
      <c r="F162" s="3" t="inlineStr"/>
      <c r="G162" s="3" t="inlineStr">
        <is>
          <t>Wooden comb, decorated on both sides with abstract undulating designs, or perhaps pseudo-calligraphy, carved in relief and surrounded by a simple geometric border band.</t>
        </is>
      </c>
      <c r="H162" s="3" t="inlineStr">
        <is>
          <t>مشط خشبى مزخرف على الجانبين بتصاميم متموجة أو ربما بزخارف تشبه الخط العربى، به حفر بارز ومحاط بإطار من زخارف هندسية بسيطة.</t>
        </is>
      </c>
      <c r="I162" s="3" t="inlineStr"/>
      <c r="J162" s="3" t="inlineStr"/>
      <c r="K162" s="3" t="inlineStr">
        <is>
          <t>W: 11.8 cm; H: 10.3 cm</t>
        </is>
      </c>
      <c r="L162" s="3" t="inlineStr">
        <is>
          <t>العرض: ١١٫٨ سم، الطول: ١٠٫٣ سم</t>
        </is>
      </c>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is>
          <t>https://mia.nadimfoundation.org/q9015</t>
        </is>
      </c>
      <c r="AT162" s="3">
        <f>IMAGE("https://api.qrserver.com/v1/create-qr-code/?size=300x300&amp;margin=8&amp;color=06444C&amp;bgcolor=EAE8D8&amp;data="&amp;ENCODEURL(AS162))</f>
        <v/>
      </c>
      <c r="AU162" s="3" t="inlineStr">
        <is>
          <t>Registered January 14, 1930</t>
        </is>
      </c>
      <c r="AV162" s="3" t="inlineStr">
        <is>
          <t>سجل فى ١٤ يناير ١٩٣٠</t>
        </is>
      </c>
      <c r="AW162" s="3" t="inlineStr">
        <is>
          <t>Gifted by Nicolas G. or Phokion J. Tano</t>
        </is>
      </c>
      <c r="AX162" s="3" t="inlineStr">
        <is>
          <t>مهدى من نيكولا ج. أو فوكيون ج. تانو</t>
        </is>
      </c>
      <c r="AY162" s="3" t="inlineStr"/>
      <c r="AZ162" s="3" t="inlineStr">
        <is>
          <t>274</t>
        </is>
      </c>
    </row>
    <row r="163">
      <c r="A163" s="3" t="inlineStr">
        <is>
          <t>18765-8</t>
        </is>
      </c>
      <c r="B163" s="3" t="inlineStr">
        <is>
          <t>Inv. no. 18765/8</t>
        </is>
      </c>
      <c r="C163" s="3" t="inlineStr">
        <is>
          <t>Double-Sided Comb</t>
        </is>
      </c>
      <c r="D163" s="3" t="inlineStr">
        <is>
          <t>مشط ذو أسنان من الجانبين</t>
        </is>
      </c>
      <c r="E163" s="3" t="inlineStr"/>
      <c r="F163" s="3" t="inlineStr"/>
      <c r="G163" s="3" t="inlineStr">
        <is>
          <t>Section of a wooden comb carved on both sides with edge-to-edge medallions with inscribed hexagons and six-petalled flowers.</t>
        </is>
      </c>
      <c r="H163" s="3" t="inlineStr">
        <is>
          <t>جزء من مشط خشبى محفور على كلا الوجهين بجامات متلاصقة من الحافة إلى الحافة، ويضم مسدسات منقوشة وزهورا سداسية البتلات.</t>
        </is>
      </c>
      <c r="I163" s="3" t="inlineStr"/>
      <c r="J163" s="3" t="inlineStr"/>
      <c r="K163" s="3" t="inlineStr">
        <is>
          <t>W: 4.2 cm; H: 10.4 cm</t>
        </is>
      </c>
      <c r="L163" s="3" t="inlineStr">
        <is>
          <t>العرض: ٤٫٢ سم، الطول: ١٠٫٤ سم</t>
        </is>
      </c>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c r="AR163" s="3" t="inlineStr"/>
      <c r="AS163" s="3" t="inlineStr">
        <is>
          <t>https://mia.nadimfoundation.org/q18765-8</t>
        </is>
      </c>
      <c r="AT163" s="3">
        <f>IMAGE("https://api.qrserver.com/v1/create-qr-code/?size=300x300&amp;margin=8&amp;color=06444C&amp;bgcolor=EAE8D8&amp;data="&amp;ENCODEURL(AS163))</f>
        <v/>
      </c>
      <c r="AU163" s="3" t="inlineStr">
        <is>
          <t>Registered March 6, 1957</t>
        </is>
      </c>
      <c r="AV163" s="3" t="inlineStr">
        <is>
          <t>سجل فى ٦ مارس ١٩٥٧</t>
        </is>
      </c>
      <c r="AW163" s="3" t="inlineStr">
        <is>
          <t>Submitted by Dr. Muhammad Mustafa</t>
        </is>
      </c>
      <c r="AX163" s="3" t="inlineStr">
        <is>
          <t>مقدم من الدكتور محمد مصطفى</t>
        </is>
      </c>
      <c r="AY163" s="3" t="inlineStr"/>
      <c r="AZ163" s="3" t="inlineStr">
        <is>
          <t>275</t>
        </is>
      </c>
    </row>
    <row r="164">
      <c r="A164" s="3" t="inlineStr">
        <is>
          <t>4955</t>
        </is>
      </c>
      <c r="B164" s="3" t="inlineStr">
        <is>
          <t>Inv. no. 4955</t>
        </is>
      </c>
      <c r="C164" s="3" t="inlineStr">
        <is>
          <t>Double-Sided Comb</t>
        </is>
      </c>
      <c r="D164" s="3" t="inlineStr">
        <is>
          <t>مشط ذو أسنان من الجانبين</t>
        </is>
      </c>
      <c r="E164" s="3" t="inlineStr">
        <is>
          <t>From the ruins of al-Fustat</t>
        </is>
      </c>
      <c r="F164" s="3" t="inlineStr">
        <is>
          <t>من آثار الفسطاط</t>
        </is>
      </c>
      <c r="G164" s="3" t="inlineStr">
        <is>
          <t>Half a wooden comb decorated on both sides with a prominent fish, carved in relief, with scales and eyes represented by ring-and-dot motifs.</t>
        </is>
      </c>
      <c r="H164" s="3" t="inlineStr">
        <is>
          <t>نصف مشط خشبى مزخرف على كلا الوجهين بنقوش بارزة على شكل سمكة، وتتشكل العيون والحراشف من زخارف الحلقة والنقطة.</t>
        </is>
      </c>
      <c r="I164" s="3" t="inlineStr"/>
      <c r="J164" s="3" t="inlineStr"/>
      <c r="K164" s="3" t="inlineStr">
        <is>
          <t>W: 5.7 cm; H: 9 cm</t>
        </is>
      </c>
      <c r="L164" s="3" t="inlineStr">
        <is>
          <t>العرض: ٥٫٧ سم، الطول: ٩ سم</t>
        </is>
      </c>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is>
          <t>https://mia.nadimfoundation.org/q4955</t>
        </is>
      </c>
      <c r="AT164" s="3">
        <f>IMAGE("https://api.qrserver.com/v1/create-qr-code/?size=300x300&amp;margin=8&amp;color=06444C&amp;bgcolor=EAE8D8&amp;data="&amp;ENCODEURL(AS164))</f>
        <v/>
      </c>
      <c r="AU164" s="3" t="inlineStr"/>
      <c r="AV164" s="3" t="inlineStr"/>
      <c r="AW164" s="3" t="inlineStr"/>
      <c r="AX164" s="3" t="inlineStr"/>
      <c r="AY164" s="3" t="inlineStr"/>
      <c r="AZ164" s="3" t="inlineStr">
        <is>
          <t>277</t>
        </is>
      </c>
    </row>
    <row r="165">
      <c r="A165" s="3" t="inlineStr">
        <is>
          <t>4956</t>
        </is>
      </c>
      <c r="B165" s="3" t="inlineStr">
        <is>
          <t>Inv. no. 4956</t>
        </is>
      </c>
      <c r="C165" s="3" t="inlineStr">
        <is>
          <t>Double-Sided Comb</t>
        </is>
      </c>
      <c r="D165" s="3" t="inlineStr">
        <is>
          <t>مشط ذو أسنان من الجانبين</t>
        </is>
      </c>
      <c r="E165" s="3" t="inlineStr">
        <is>
          <t>From the ruins of al-Fustat</t>
        </is>
      </c>
      <c r="F165" s="3" t="inlineStr">
        <is>
          <t>من آثار الفسطاط</t>
        </is>
      </c>
      <c r="G165" s="3" t="inlineStr">
        <is>
          <t>Half a wooden comb decorated on both sides with a rabbit or hare, carved in relief.</t>
        </is>
      </c>
      <c r="H165" s="3" t="inlineStr">
        <is>
          <t>نصف مشط خشبى مزخرف على الوجهين، بنقوش بارزة على شكل أرنب أو أرنب برى.</t>
        </is>
      </c>
      <c r="I165" s="3" t="inlineStr"/>
      <c r="J165" s="3" t="inlineStr"/>
      <c r="K165" s="3" t="inlineStr">
        <is>
          <t>W: 5.2 cm; H: 10 cm</t>
        </is>
      </c>
      <c r="L165" s="3" t="inlineStr">
        <is>
          <t>العرض: ٥٫٢ سم، الطول: ١٠ سم</t>
        </is>
      </c>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is>
          <t>https://mia.nadimfoundation.org/q4956</t>
        </is>
      </c>
      <c r="AT165" s="3">
        <f>IMAGE("https://api.qrserver.com/v1/create-qr-code/?size=300x300&amp;margin=8&amp;color=06444C&amp;bgcolor=EAE8D8&amp;data="&amp;ENCODEURL(AS165))</f>
        <v/>
      </c>
      <c r="AU165" s="3" t="inlineStr"/>
      <c r="AV165" s="3" t="inlineStr"/>
      <c r="AW165" s="3" t="inlineStr"/>
      <c r="AX165" s="3" t="inlineStr"/>
      <c r="AY165" s="3" t="inlineStr"/>
      <c r="AZ165" s="3" t="inlineStr">
        <is>
          <t>278</t>
        </is>
      </c>
    </row>
    <row r="166">
      <c r="A166" s="3" t="inlineStr">
        <is>
          <t>4957</t>
        </is>
      </c>
      <c r="B166" s="3" t="inlineStr">
        <is>
          <t>Inv. no. 4957</t>
        </is>
      </c>
      <c r="C166" s="3" t="inlineStr">
        <is>
          <t>Double-Sided Comb</t>
        </is>
      </c>
      <c r="D166" s="3" t="inlineStr">
        <is>
          <t>مشط ذو أسنان من الجانبين</t>
        </is>
      </c>
      <c r="E166" s="3" t="inlineStr">
        <is>
          <t>From the ruins of al-Fustat</t>
        </is>
      </c>
      <c r="F166" s="3" t="inlineStr">
        <is>
          <t>من آثار الفسطاط</t>
        </is>
      </c>
      <c r="G166" s="3" t="inlineStr">
        <is>
          <t>Half a wooden comb decorated on both sides with a rabbit or hare and a bird-of-prey, carved in relief.</t>
        </is>
      </c>
      <c r="H166" s="3" t="inlineStr">
        <is>
          <t>نصف مشط خشبى مزخرف على الوجهين بنقوش بارزة، حيث تصور أرنبا وطيرا جارحا.</t>
        </is>
      </c>
      <c r="I166" s="3" t="inlineStr"/>
      <c r="J166" s="3" t="inlineStr"/>
      <c r="K166" s="3" t="inlineStr">
        <is>
          <t>W: 3.2 cm; H: 8.2 cm</t>
        </is>
      </c>
      <c r="L166" s="3" t="inlineStr">
        <is>
          <t>العرض: ٣٫٢ سم، الطول: ٨٫٢ سم</t>
        </is>
      </c>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is>
          <t>https://mia.nadimfoundation.org/q4957</t>
        </is>
      </c>
      <c r="AT166" s="3">
        <f>IMAGE("https://api.qrserver.com/v1/create-qr-code/?size=300x300&amp;margin=8&amp;color=06444C&amp;bgcolor=EAE8D8&amp;data="&amp;ENCODEURL(AS166))</f>
        <v/>
      </c>
      <c r="AU166" s="3" t="inlineStr"/>
      <c r="AV166" s="3" t="inlineStr"/>
      <c r="AW166" s="3" t="inlineStr"/>
      <c r="AX166" s="3" t="inlineStr"/>
      <c r="AY166" s="3" t="inlineStr"/>
      <c r="AZ166" s="3" t="inlineStr">
        <is>
          <t>278</t>
        </is>
      </c>
    </row>
    <row r="167">
      <c r="A167" s="3" t="inlineStr">
        <is>
          <t>18763-1</t>
        </is>
      </c>
      <c r="B167" s="3" t="inlineStr">
        <is>
          <t>Inv. no. 18763/1</t>
        </is>
      </c>
      <c r="C167" s="3" t="inlineStr">
        <is>
          <t>Double-Sided Comb</t>
        </is>
      </c>
      <c r="D167" s="3" t="inlineStr">
        <is>
          <t>مشط ذو أسنان من الجانبين</t>
        </is>
      </c>
      <c r="E167" s="3" t="inlineStr"/>
      <c r="F167" s="3" t="inlineStr"/>
      <c r="G167" s="3" t="inlineStr">
        <is>
          <t>Half a wooden comb decorated on both sides with fish facing the same direction, carved in relief. The eyes and scales are represented by rings-and-dots.</t>
        </is>
      </c>
      <c r="H167" s="3" t="inlineStr">
        <is>
          <t>نصف مشط خشبى مزخرف على كلا الوجهين بنقوش بارزة على شكل أسماك تصطف فى اتجاه واحد، وتتشكل العيون والحراشف من زخارف الحلقة والنقطة.</t>
        </is>
      </c>
      <c r="I167" s="3" t="inlineStr"/>
      <c r="J167" s="3" t="inlineStr"/>
      <c r="K167" s="3" t="inlineStr">
        <is>
          <t>W: 6.5 cm; H: 10.5 cm</t>
        </is>
      </c>
      <c r="L167" s="3" t="inlineStr">
        <is>
          <t>العرض: ٦٫٥ سم، الطول: ١٠٫٥ سم</t>
        </is>
      </c>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c r="AR167" s="3" t="inlineStr"/>
      <c r="AS167" s="3" t="inlineStr">
        <is>
          <t>https://mia.nadimfoundation.org/q18763-1</t>
        </is>
      </c>
      <c r="AT167" s="3">
        <f>IMAGE("https://api.qrserver.com/v1/create-qr-code/?size=300x300&amp;margin=8&amp;color=06444C&amp;bgcolor=EAE8D8&amp;data="&amp;ENCODEURL(AS167))</f>
        <v/>
      </c>
      <c r="AU167" s="3" t="inlineStr"/>
      <c r="AV167" s="3" t="inlineStr"/>
      <c r="AW167" s="3" t="inlineStr">
        <is>
          <t>Submitted by Dr. Muhammad Mustafa</t>
        </is>
      </c>
      <c r="AX167" s="3" t="inlineStr">
        <is>
          <t>مقدم من الدكتور محمد مصطفى</t>
        </is>
      </c>
      <c r="AY167" s="3" t="inlineStr"/>
      <c r="AZ167" s="3" t="inlineStr">
        <is>
          <t>279</t>
        </is>
      </c>
    </row>
    <row r="168">
      <c r="A168" s="3" t="inlineStr">
        <is>
          <t>18763-2</t>
        </is>
      </c>
      <c r="B168" s="3" t="inlineStr">
        <is>
          <t>Inv. no. 18763/2</t>
        </is>
      </c>
      <c r="C168" s="3" t="inlineStr">
        <is>
          <t>Double-Sided Comb</t>
        </is>
      </c>
      <c r="D168" s="3" t="inlineStr">
        <is>
          <t>مشط ذو أسنان من الجانبين</t>
        </is>
      </c>
      <c r="E168" s="3" t="inlineStr"/>
      <c r="F168" s="3" t="inlineStr"/>
      <c r="G168" s="3" t="inlineStr">
        <is>
          <t>Half a wooden comb decorated on both sides with a partially-preserved eagle, carved in relief.</t>
        </is>
      </c>
      <c r="H168" s="3" t="inlineStr">
        <is>
          <t>نصف مشط خشبى مزخرف على كلا الوجهين بنقش بارز على شكل نسر محتفظا بهيئته.</t>
        </is>
      </c>
      <c r="I168" s="3" t="inlineStr"/>
      <c r="J168" s="3" t="inlineStr"/>
      <c r="K168" s="3" t="inlineStr">
        <is>
          <t>W: 4.9 cm; H: 10.8 cm</t>
        </is>
      </c>
      <c r="L168" s="3" t="inlineStr">
        <is>
          <t>العرض: ٤٫٩ سم، الطول: ١٠٫٨ سم</t>
        </is>
      </c>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is>
          <t>https://mia.nadimfoundation.org/q18763-2</t>
        </is>
      </c>
      <c r="AT168" s="3">
        <f>IMAGE("https://api.qrserver.com/v1/create-qr-code/?size=300x300&amp;margin=8&amp;color=06444C&amp;bgcolor=EAE8D8&amp;data="&amp;ENCODEURL(AS168))</f>
        <v/>
      </c>
      <c r="AU168" s="3" t="inlineStr"/>
      <c r="AV168" s="3" t="inlineStr"/>
      <c r="AW168" s="3" t="inlineStr">
        <is>
          <t>Submitted by Dr. Muhammad Mustafa</t>
        </is>
      </c>
      <c r="AX168" s="3" t="inlineStr">
        <is>
          <t>مقدم من الدكتور محمد مصطفى</t>
        </is>
      </c>
      <c r="AY168" s="3" t="inlineStr"/>
      <c r="AZ168" s="3" t="inlineStr">
        <is>
          <t>279</t>
        </is>
      </c>
    </row>
    <row r="169">
      <c r="A169" s="3" t="inlineStr">
        <is>
          <t>37773</t>
        </is>
      </c>
      <c r="B169" s="3" t="inlineStr">
        <is>
          <t>Inv. no. 37773</t>
        </is>
      </c>
      <c r="C169" s="3" t="inlineStr">
        <is>
          <t>Double-Sided Comb</t>
        </is>
      </c>
      <c r="D169" s="3" t="inlineStr">
        <is>
          <t>مشط ذو أسنان من الجانبين</t>
        </is>
      </c>
      <c r="E169" s="3" t="inlineStr">
        <is>
          <t>Recovered from the felonies of el-Nuzha (Case No. 9224/92)</t>
        </is>
      </c>
      <c r="F169" s="3" t="inlineStr">
        <is>
          <t>مضبوطات قسم النزهة (القضية رقم ٩٢٢٤/٩٢)</t>
        </is>
      </c>
      <c r="G169" s="3" t="inlineStr">
        <is>
          <t>Section of a wooden comb, partially preserved, decorated with openwork designs in the form of two twin horseshoe arches with a colonette between them.</t>
        </is>
      </c>
      <c r="H169" s="3" t="inlineStr">
        <is>
          <t>جزء من مشط خشبى يحتفظ بهيئته، بزخارف مفرغة تتكون من عقدين متجاورين على هيئة حدوة حصان يتوسطهما عمود صغير.</t>
        </is>
      </c>
      <c r="I169" s="3" t="inlineStr"/>
      <c r="J169" s="3" t="inlineStr"/>
      <c r="K169" s="3" t="inlineStr">
        <is>
          <t>W: 3.8 cm; H: 6.5 cm</t>
        </is>
      </c>
      <c r="L169" s="3" t="inlineStr">
        <is>
          <t>العرض: ٣٫٨ سم، الطول: ٦٫٥ سم</t>
        </is>
      </c>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c r="AR169" s="3" t="inlineStr"/>
      <c r="AS169" s="3" t="inlineStr">
        <is>
          <t>https://mia.nadimfoundation.org/q37773</t>
        </is>
      </c>
      <c r="AT169" s="3">
        <f>IMAGE("https://api.qrserver.com/v1/create-qr-code/?size=300x300&amp;margin=8&amp;color=06444C&amp;bgcolor=EAE8D8&amp;data="&amp;ENCODEURL(AS169))</f>
        <v/>
      </c>
      <c r="AU169" s="3" t="inlineStr">
        <is>
          <t>Registered July 15, 1955</t>
        </is>
      </c>
      <c r="AV169" s="3" t="inlineStr">
        <is>
          <t>سجل فى ١٥ يوليو ١٩٥٥</t>
        </is>
      </c>
      <c r="AW169" s="3" t="inlineStr"/>
      <c r="AX169" s="3" t="inlineStr"/>
      <c r="AY169" s="3" t="inlineStr"/>
      <c r="AZ169" s="3"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inventory</t>
        </is>
      </c>
      <c r="B1" t="inlineStr">
        <is>
          <t>reason</t>
        </is>
      </c>
    </row>
    <row r="2">
      <c r="A2" t="inlineStr">
        <is>
          <t>4615</t>
        </is>
      </c>
      <c r="B2" t="inlineStr">
        <is>
          <t>already in the sheet (1-6)</t>
        </is>
      </c>
    </row>
    <row r="3">
      <c r="A3" t="inlineStr">
        <is>
          <t>3553</t>
        </is>
      </c>
      <c r="B3" t="inlineStr">
        <is>
          <t>already in the sheet (1-6)</t>
        </is>
      </c>
    </row>
    <row r="4">
      <c r="A4" t="inlineStr">
        <is>
          <t>596</t>
        </is>
      </c>
      <c r="B4" t="inlineStr">
        <is>
          <t>already in the sheet (1-6)</t>
        </is>
      </c>
    </row>
    <row r="5">
      <c r="A5" t="inlineStr">
        <is>
          <t>1065</t>
        </is>
      </c>
      <c r="B5" t="inlineStr">
        <is>
          <t>already in the sheet (1-6)</t>
        </is>
      </c>
    </row>
    <row r="6">
      <c r="A6" t="inlineStr">
        <is>
          <t>560</t>
        </is>
      </c>
      <c r="B6" t="inlineStr">
        <is>
          <t>already in the sheet (1-6)</t>
        </is>
      </c>
    </row>
    <row r="7">
      <c r="A7" t="inlineStr">
        <is>
          <t>1066</t>
        </is>
      </c>
      <c r="B7" t="inlineStr">
        <is>
          <t>already in the sheet (1-6)</t>
        </is>
      </c>
    </row>
    <row r="8">
      <c r="A8" t="inlineStr">
        <is>
          <t>18858/2-4, 6-8</t>
        </is>
      </c>
      <c r="B8" t="inlineStr">
        <is>
          <t>group heading (its items are separate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2026-10-04T12:24:03Z</dcterms:created>
  <dcterms:modified xsi:type="dcterms:W3CDTF">2026-10-04T12:24:04Z</dcterms:modified>
</cp:coreProperties>
</file>